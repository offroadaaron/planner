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obeint.sharepoint.com/sites/CRM-FXD/Shared Documents/CRM/CRM REPORTS/"/>
    </mc:Choice>
  </mc:AlternateContent>
  <xr:revisionPtr revIDLastSave="0" documentId="8_{1C50EABE-5B98-4113-AF99-C1AB6480EEA0}" xr6:coauthVersionLast="47" xr6:coauthVersionMax="47" xr10:uidLastSave="{00000000-0000-0000-0000-000000000000}"/>
  <bookViews>
    <workbookView xWindow="-30828" yWindow="-3300" windowWidth="30936" windowHeight="16776" tabRatio="900" firstSheet="5" activeTab="4" xr2:uid="{00000000-000D-0000-FFFF-FFFF00000000}"/>
  </bookViews>
  <sheets>
    <sheet name="Get Data -NSW(North)" sheetId="36" state="hidden" r:id="rId1"/>
    <sheet name="Customer Details " sheetId="37" state="hidden" r:id="rId2"/>
    <sheet name="Validation List" sheetId="26" state="hidden" r:id="rId3"/>
    <sheet name="INSTRUCTIONS" sheetId="35" r:id="rId4"/>
    <sheet name="Database" sheetId="28" r:id="rId5"/>
    <sheet name=" CVM" sheetId="32" r:id="rId6"/>
    <sheet name="JANUARY" sheetId="25" r:id="rId7"/>
    <sheet name="FEBRUARY" sheetId="14" r:id="rId8"/>
    <sheet name="MARCH" sheetId="16" r:id="rId9"/>
    <sheet name="APRIL" sheetId="15" state="hidden" r:id="rId10"/>
    <sheet name="MAY" sheetId="17" state="hidden" r:id="rId11"/>
    <sheet name="JUNE" sheetId="18" state="hidden" r:id="rId12"/>
    <sheet name="JULY" sheetId="19" state="hidden" r:id="rId13"/>
    <sheet name="AUGUST" sheetId="20" state="hidden" r:id="rId14"/>
    <sheet name="SEPTEMBER" sheetId="21" state="hidden" r:id="rId15"/>
    <sheet name="OCTOBER" sheetId="22" state="hidden" r:id="rId16"/>
    <sheet name="NOVEMBER" sheetId="23" state="hidden" r:id="rId17"/>
    <sheet name="DECEMBER" sheetId="24" state="hidden" r:id="rId18"/>
  </sheets>
  <externalReferences>
    <externalReference r:id="rId19"/>
    <externalReference r:id="rId20"/>
  </externalReferences>
  <definedNames>
    <definedName name="_xlnm._FilterDatabase" localSheetId="5" hidden="1">' CVM'!$B$3:$AH$62</definedName>
    <definedName name="_xlnm._FilterDatabase" localSheetId="4" hidden="1">Database!$T$4:$AF$63</definedName>
    <definedName name="_xleta.N" hidden="1" xlm="1">#NAME?</definedName>
    <definedName name="_xleta.T" hidden="1" xlm="1">#NAME?</definedName>
    <definedName name="_xlpm.c" hidden="1" xlm="1">#NAME?</definedName>
    <definedName name="_xlpm.col" hidden="1" xlm="1">#NAME?</definedName>
    <definedName name="_xlpm.d" hidden="1" xlm="1">#NAME?</definedName>
    <definedName name="_xlpm.m" hidden="1" xlm="1">#NAME?</definedName>
    <definedName name="_xlpm.n" hidden="1" xlm="1">#NAME?</definedName>
    <definedName name="_xlpm.p" hidden="1" xlm="1">#NAME?</definedName>
    <definedName name="_xlpm.planned" hidden="1" xlm="1">#NAME?</definedName>
    <definedName name="_xlpm.r" hidden="1" xlm="1">#NAME?</definedName>
    <definedName name="_xlpm.result" hidden="1" xlm="1">#NAME?</definedName>
    <definedName name="_xlpm.rng" hidden="1" xlm="1">#NAME?</definedName>
    <definedName name="_xlpm.stores" hidden="1" xlm="1">#NAME?</definedName>
    <definedName name="_xlpm.t" hidden="1" xlm="1">#NAME?</definedName>
    <definedName name="_xlpm.terr" hidden="1" xlm="1">#NAME?</definedName>
    <definedName name="CalendarYear" localSheetId="1">[1]JANUARY!$R$4</definedName>
    <definedName name="CalendarYear" localSheetId="0">[1]JANUARY!$R$4</definedName>
    <definedName name="CalendarYear">JANUARY!$R$4</definedName>
    <definedName name="DaysAndWeeks" localSheetId="1">{0,1,2,3,4,5,6} + {0;1;2;3;4;5}*7</definedName>
    <definedName name="DaysAndWeeks" localSheetId="0">{0,1,2,3,4,5,6} + {0;1;2;3;4;5}*7</definedName>
    <definedName name="DaysAndWeeks">{0,1,2,3,4,5,6} + {0;1;2;3;4;5}*7</definedName>
    <definedName name="ExternalData_1" localSheetId="0" hidden="1">'Get Data -NSW(North)'!$A$1:$H$56</definedName>
    <definedName name="_xlnm.Print_Area" localSheetId="6">JANUARY!$A:$K</definedName>
    <definedName name="WeekStart" localSheetId="1">[1]JANUARY!$S$4</definedName>
    <definedName name="WeekStart" localSheetId="0">[1]JANUARY!$S$4</definedName>
    <definedName name="WeekStart">JANUARY!$S$4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32" l="1" a="1"/>
  <c r="I4" i="32" s="1"/>
  <c r="I5" i="32" a="1"/>
  <c r="I5" i="32" s="1"/>
  <c r="I6" i="32" a="1"/>
  <c r="I6" i="32" s="1"/>
  <c r="I7" i="32" a="1"/>
  <c r="I7" i="32" s="1"/>
  <c r="I8" i="32" a="1"/>
  <c r="I8" i="32" s="1"/>
  <c r="I9" i="32" a="1"/>
  <c r="I9" i="32" s="1"/>
  <c r="I10" i="32" a="1"/>
  <c r="I10" i="32" s="1"/>
  <c r="I11" i="32" a="1"/>
  <c r="I11" i="32" s="1"/>
  <c r="I12" i="32" a="1"/>
  <c r="I12" i="32" s="1"/>
  <c r="I13" i="32" a="1"/>
  <c r="I13" i="32" s="1"/>
  <c r="I14" i="32" a="1"/>
  <c r="I14" i="32" s="1"/>
  <c r="I15" i="32" a="1"/>
  <c r="I15" i="32" s="1"/>
  <c r="I16" i="32" a="1"/>
  <c r="I16" i="32" s="1"/>
  <c r="I17" i="32" a="1"/>
  <c r="I17" i="32" s="1"/>
  <c r="I18" i="32" a="1"/>
  <c r="I18" i="32" s="1"/>
  <c r="I19" i="32" a="1"/>
  <c r="I19" i="32" s="1"/>
  <c r="I20" i="32" a="1"/>
  <c r="I20" i="32" s="1"/>
  <c r="I21" i="32" a="1"/>
  <c r="I21" i="32" s="1"/>
  <c r="I22" i="32" a="1"/>
  <c r="I22" i="32" s="1"/>
  <c r="I23" i="32" a="1"/>
  <c r="I23" i="32" s="1"/>
  <c r="I24" i="32" a="1"/>
  <c r="I24" i="32" s="1"/>
  <c r="I25" i="32" a="1"/>
  <c r="I25" i="32" s="1"/>
  <c r="I26" i="32" a="1"/>
  <c r="I26" i="32" s="1"/>
  <c r="I27" i="32" a="1"/>
  <c r="I27" i="32" s="1"/>
  <c r="I28" i="32" a="1"/>
  <c r="I28" i="32" s="1"/>
  <c r="I29" i="32" a="1"/>
  <c r="I29" i="32" s="1"/>
  <c r="I30" i="32" a="1"/>
  <c r="I30" i="32" s="1"/>
  <c r="I31" i="32" a="1"/>
  <c r="I31" i="32" s="1"/>
  <c r="I32" i="32" a="1"/>
  <c r="I32" i="32" s="1"/>
  <c r="I33" i="32" a="1"/>
  <c r="I33" i="32" s="1"/>
  <c r="I34" i="32" a="1"/>
  <c r="I34" i="32" s="1"/>
  <c r="I35" i="32" a="1"/>
  <c r="I35" i="32" s="1"/>
  <c r="I36" i="32" a="1"/>
  <c r="I36" i="32" s="1"/>
  <c r="I37" i="32" a="1"/>
  <c r="I37" i="32" s="1"/>
  <c r="I38" i="32" a="1"/>
  <c r="I38" i="32" s="1"/>
  <c r="I39" i="32" a="1"/>
  <c r="I39" i="32" s="1"/>
  <c r="I40" i="32" a="1"/>
  <c r="I40" i="32" s="1"/>
  <c r="I41" i="32" a="1"/>
  <c r="I41" i="32" s="1"/>
  <c r="I42" i="32" a="1"/>
  <c r="I42" i="32" s="1"/>
  <c r="I43" i="32" a="1"/>
  <c r="I43" i="32" s="1"/>
  <c r="I44" i="32" a="1"/>
  <c r="I44" i="32" s="1"/>
  <c r="I45" i="32" a="1"/>
  <c r="I45" i="32" s="1"/>
  <c r="I46" i="32" a="1"/>
  <c r="I46" i="32" s="1"/>
  <c r="I47" i="32" a="1"/>
  <c r="I47" i="32" s="1"/>
  <c r="I48" i="32" a="1"/>
  <c r="I48" i="32" s="1"/>
  <c r="I49" i="32" a="1"/>
  <c r="I49" i="32" s="1"/>
  <c r="I50" i="32" a="1"/>
  <c r="I50" i="32" s="1"/>
  <c r="I51" i="32" a="1"/>
  <c r="I51" i="32" s="1"/>
  <c r="I52" i="32" a="1"/>
  <c r="I52" i="32" s="1"/>
  <c r="I53" i="32" a="1"/>
  <c r="I53" i="32" s="1"/>
  <c r="I54" i="32" a="1"/>
  <c r="I54" i="32" s="1"/>
  <c r="I55" i="32" a="1"/>
  <c r="I55" i="32" s="1"/>
  <c r="I56" i="32" a="1"/>
  <c r="I56" i="32" s="1"/>
  <c r="I57" i="32" a="1"/>
  <c r="I57" i="32" s="1"/>
  <c r="I58" i="32" a="1"/>
  <c r="I58" i="32" s="1"/>
  <c r="I59" i="32" a="1"/>
  <c r="I59" i="32" s="1"/>
  <c r="I60" i="32" a="1"/>
  <c r="I60" i="32" s="1"/>
  <c r="I61" i="32" a="1"/>
  <c r="I61" i="32" s="1"/>
  <c r="I62" i="32" a="1"/>
  <c r="I62" i="32" s="1"/>
  <c r="B2" i="14" l="1"/>
  <c r="B3" i="14"/>
  <c r="U6" i="28"/>
  <c r="V6" i="28"/>
  <c r="W6" i="28"/>
  <c r="U7" i="28"/>
  <c r="V7" i="28"/>
  <c r="W7" i="28"/>
  <c r="U8" i="28"/>
  <c r="V8" i="28"/>
  <c r="W8" i="28"/>
  <c r="U9" i="28"/>
  <c r="V9" i="28"/>
  <c r="W9" i="28"/>
  <c r="U10" i="28"/>
  <c r="V10" i="28"/>
  <c r="W10" i="28"/>
  <c r="U11" i="28"/>
  <c r="V11" i="28"/>
  <c r="W11" i="28"/>
  <c r="U12" i="28"/>
  <c r="V12" i="28"/>
  <c r="W12" i="28"/>
  <c r="U13" i="28"/>
  <c r="V13" i="28"/>
  <c r="W13" i="28"/>
  <c r="U14" i="28"/>
  <c r="V14" i="28"/>
  <c r="W14" i="28"/>
  <c r="U15" i="28"/>
  <c r="V15" i="28"/>
  <c r="W15" i="28"/>
  <c r="U16" i="28"/>
  <c r="V16" i="28"/>
  <c r="W16" i="28"/>
  <c r="U17" i="28"/>
  <c r="V17" i="28"/>
  <c r="W17" i="28"/>
  <c r="U18" i="28"/>
  <c r="V18" i="28"/>
  <c r="W18" i="28"/>
  <c r="U19" i="28"/>
  <c r="V19" i="28"/>
  <c r="W19" i="28"/>
  <c r="U20" i="28"/>
  <c r="V20" i="28"/>
  <c r="W20" i="28"/>
  <c r="U21" i="28"/>
  <c r="V21" i="28"/>
  <c r="W21" i="28"/>
  <c r="U22" i="28"/>
  <c r="V22" i="28"/>
  <c r="W22" i="28"/>
  <c r="U23" i="28"/>
  <c r="V23" i="28"/>
  <c r="W23" i="28"/>
  <c r="U24" i="28"/>
  <c r="V24" i="28"/>
  <c r="W24" i="28"/>
  <c r="U25" i="28"/>
  <c r="V25" i="28"/>
  <c r="W25" i="28"/>
  <c r="U26" i="28"/>
  <c r="V26" i="28"/>
  <c r="W26" i="28"/>
  <c r="U27" i="28"/>
  <c r="V27" i="28"/>
  <c r="W27" i="28"/>
  <c r="U28" i="28"/>
  <c r="V28" i="28"/>
  <c r="W28" i="28"/>
  <c r="U29" i="28"/>
  <c r="V29" i="28"/>
  <c r="W29" i="28"/>
  <c r="U30" i="28"/>
  <c r="V30" i="28"/>
  <c r="W30" i="28"/>
  <c r="U31" i="28"/>
  <c r="V31" i="28"/>
  <c r="W31" i="28"/>
  <c r="U32" i="28"/>
  <c r="V32" i="28"/>
  <c r="W32" i="28"/>
  <c r="U33" i="28"/>
  <c r="V33" i="28"/>
  <c r="W33" i="28"/>
  <c r="U34" i="28"/>
  <c r="V34" i="28"/>
  <c r="W34" i="28"/>
  <c r="U35" i="28"/>
  <c r="V35" i="28"/>
  <c r="W35" i="28"/>
  <c r="U36" i="28"/>
  <c r="V36" i="28"/>
  <c r="W36" i="28"/>
  <c r="U37" i="28"/>
  <c r="V37" i="28"/>
  <c r="W37" i="28"/>
  <c r="U38" i="28"/>
  <c r="V38" i="28"/>
  <c r="W38" i="28"/>
  <c r="U39" i="28"/>
  <c r="V39" i="28"/>
  <c r="W39" i="28"/>
  <c r="U40" i="28"/>
  <c r="V40" i="28"/>
  <c r="W40" i="28"/>
  <c r="U41" i="28"/>
  <c r="V41" i="28"/>
  <c r="W41" i="28"/>
  <c r="U42" i="28"/>
  <c r="V42" i="28"/>
  <c r="W42" i="28"/>
  <c r="U43" i="28"/>
  <c r="V43" i="28"/>
  <c r="W43" i="28"/>
  <c r="U44" i="28"/>
  <c r="V44" i="28"/>
  <c r="W44" i="28"/>
  <c r="U45" i="28"/>
  <c r="V45" i="28"/>
  <c r="W45" i="28"/>
  <c r="U46" i="28"/>
  <c r="V46" i="28"/>
  <c r="W46" i="28"/>
  <c r="U47" i="28"/>
  <c r="V47" i="28"/>
  <c r="W47" i="28"/>
  <c r="U48" i="28"/>
  <c r="V48" i="28"/>
  <c r="W48" i="28"/>
  <c r="U49" i="28"/>
  <c r="V49" i="28"/>
  <c r="W49" i="28"/>
  <c r="U50" i="28"/>
  <c r="V50" i="28"/>
  <c r="W50" i="28"/>
  <c r="U51" i="28"/>
  <c r="V51" i="28"/>
  <c r="W51" i="28"/>
  <c r="U52" i="28"/>
  <c r="V52" i="28"/>
  <c r="W52" i="28"/>
  <c r="U53" i="28"/>
  <c r="V53" i="28"/>
  <c r="W53" i="28"/>
  <c r="U54" i="28"/>
  <c r="V54" i="28"/>
  <c r="W54" i="28"/>
  <c r="U55" i="28"/>
  <c r="V55" i="28"/>
  <c r="W55" i="28"/>
  <c r="U56" i="28"/>
  <c r="V56" i="28"/>
  <c r="W56" i="28"/>
  <c r="U57" i="28"/>
  <c r="V57" i="28"/>
  <c r="W57" i="28"/>
  <c r="U58" i="28"/>
  <c r="V58" i="28"/>
  <c r="W58" i="28"/>
  <c r="U59" i="28"/>
  <c r="V59" i="28"/>
  <c r="W59" i="28"/>
  <c r="U60" i="28"/>
  <c r="V60" i="28"/>
  <c r="W60" i="28"/>
  <c r="U61" i="28"/>
  <c r="V61" i="28"/>
  <c r="W61" i="28"/>
  <c r="U62" i="28"/>
  <c r="V62" i="28"/>
  <c r="W62" i="28"/>
  <c r="U63" i="28"/>
  <c r="V63" i="28"/>
  <c r="W63" i="28"/>
  <c r="W5" i="28"/>
  <c r="V5" i="28"/>
  <c r="U5" i="28"/>
  <c r="X5" i="28" l="1"/>
  <c r="F4" i="32" s="1"/>
  <c r="B5" i="28"/>
  <c r="C5" i="28"/>
  <c r="D5" i="28"/>
  <c r="E5" i="28"/>
  <c r="F5" i="28"/>
  <c r="G5" i="28"/>
  <c r="A5" i="28"/>
  <c r="X63" i="28"/>
  <c r="F62" i="32" s="1"/>
  <c r="B63" i="28"/>
  <c r="C63" i="28"/>
  <c r="D63" i="28"/>
  <c r="E63" i="28"/>
  <c r="F63" i="28"/>
  <c r="G63" i="28"/>
  <c r="A63" i="28"/>
  <c r="X62" i="28"/>
  <c r="F61" i="32" s="1"/>
  <c r="B62" i="28"/>
  <c r="C62" i="28"/>
  <c r="D62" i="28"/>
  <c r="E62" i="28"/>
  <c r="F62" i="28"/>
  <c r="G62" i="28"/>
  <c r="A62" i="28"/>
  <c r="X61" i="28"/>
  <c r="F60" i="32" s="1"/>
  <c r="B61" i="28"/>
  <c r="C61" i="28"/>
  <c r="D61" i="28"/>
  <c r="E61" i="28"/>
  <c r="F61" i="28"/>
  <c r="G61" i="28"/>
  <c r="A61" i="28"/>
  <c r="X60" i="28"/>
  <c r="F59" i="32" s="1"/>
  <c r="B60" i="28"/>
  <c r="C60" i="28"/>
  <c r="D60" i="28"/>
  <c r="E60" i="28"/>
  <c r="F60" i="28"/>
  <c r="G60" i="28"/>
  <c r="A60" i="28"/>
  <c r="X59" i="28"/>
  <c r="F58" i="32" s="1"/>
  <c r="B59" i="28"/>
  <c r="C59" i="28"/>
  <c r="D59" i="28"/>
  <c r="E59" i="28"/>
  <c r="F59" i="28"/>
  <c r="G59" i="28"/>
  <c r="A59" i="28"/>
  <c r="X58" i="28"/>
  <c r="F57" i="32" s="1"/>
  <c r="B58" i="28"/>
  <c r="C58" i="28"/>
  <c r="D58" i="28"/>
  <c r="E58" i="28"/>
  <c r="F58" i="28"/>
  <c r="G58" i="28"/>
  <c r="A58" i="28"/>
  <c r="X57" i="28"/>
  <c r="F56" i="32" s="1"/>
  <c r="B57" i="28"/>
  <c r="C57" i="28"/>
  <c r="D57" i="28"/>
  <c r="E57" i="28"/>
  <c r="F57" i="28"/>
  <c r="G57" i="28"/>
  <c r="A57" i="28"/>
  <c r="X56" i="28"/>
  <c r="F55" i="32" s="1"/>
  <c r="B56" i="28"/>
  <c r="C56" i="28"/>
  <c r="D56" i="28"/>
  <c r="E56" i="28"/>
  <c r="F56" i="28"/>
  <c r="G56" i="28"/>
  <c r="A56" i="28"/>
  <c r="X55" i="28"/>
  <c r="F54" i="32" s="1"/>
  <c r="B55" i="28"/>
  <c r="C55" i="28"/>
  <c r="D55" i="28"/>
  <c r="E55" i="28"/>
  <c r="F55" i="28"/>
  <c r="G55" i="28"/>
  <c r="A55" i="28"/>
  <c r="X54" i="28"/>
  <c r="F53" i="32" s="1"/>
  <c r="B54" i="28"/>
  <c r="C54" i="28"/>
  <c r="D54" i="28"/>
  <c r="E54" i="28"/>
  <c r="F54" i="28"/>
  <c r="G54" i="28"/>
  <c r="A54" i="28"/>
  <c r="X53" i="28"/>
  <c r="F52" i="32" s="1"/>
  <c r="B53" i="28"/>
  <c r="C53" i="28"/>
  <c r="D53" i="28"/>
  <c r="E53" i="28"/>
  <c r="F53" i="28"/>
  <c r="G53" i="28"/>
  <c r="A53" i="28"/>
  <c r="X52" i="28"/>
  <c r="F51" i="32" s="1"/>
  <c r="B52" i="28"/>
  <c r="C52" i="28"/>
  <c r="D52" i="28"/>
  <c r="E52" i="28"/>
  <c r="F52" i="28"/>
  <c r="G52" i="28"/>
  <c r="A52" i="28"/>
  <c r="X51" i="28"/>
  <c r="F50" i="32" s="1"/>
  <c r="B51" i="28"/>
  <c r="C51" i="28"/>
  <c r="D51" i="28"/>
  <c r="E51" i="28"/>
  <c r="F51" i="28"/>
  <c r="G51" i="28"/>
  <c r="A51" i="28"/>
  <c r="X50" i="28"/>
  <c r="F49" i="32" s="1"/>
  <c r="B50" i="28"/>
  <c r="C50" i="28"/>
  <c r="D50" i="28"/>
  <c r="E50" i="28"/>
  <c r="F50" i="28"/>
  <c r="G50" i="28"/>
  <c r="A50" i="28"/>
  <c r="X49" i="28"/>
  <c r="F48" i="32" s="1"/>
  <c r="B49" i="28"/>
  <c r="C49" i="28"/>
  <c r="D49" i="28"/>
  <c r="E49" i="28"/>
  <c r="F49" i="28"/>
  <c r="G49" i="28"/>
  <c r="A49" i="28"/>
  <c r="X48" i="28"/>
  <c r="F47" i="32" s="1"/>
  <c r="B48" i="28"/>
  <c r="C48" i="28"/>
  <c r="D48" i="28"/>
  <c r="E48" i="28"/>
  <c r="F48" i="28"/>
  <c r="G48" i="28"/>
  <c r="A48" i="28"/>
  <c r="X47" i="28"/>
  <c r="F46" i="32" s="1"/>
  <c r="B47" i="28"/>
  <c r="C47" i="28"/>
  <c r="D47" i="28"/>
  <c r="E47" i="28"/>
  <c r="F47" i="28"/>
  <c r="G47" i="28"/>
  <c r="A47" i="28"/>
  <c r="X46" i="28"/>
  <c r="F45" i="32" s="1"/>
  <c r="B46" i="28"/>
  <c r="C46" i="28"/>
  <c r="D46" i="28"/>
  <c r="E46" i="28"/>
  <c r="F46" i="28"/>
  <c r="G46" i="28"/>
  <c r="A46" i="28"/>
  <c r="X45" i="28"/>
  <c r="F44" i="32" s="1"/>
  <c r="B45" i="28"/>
  <c r="C45" i="28"/>
  <c r="D45" i="28"/>
  <c r="E45" i="28"/>
  <c r="F45" i="28"/>
  <c r="G45" i="28"/>
  <c r="A45" i="28"/>
  <c r="X44" i="28"/>
  <c r="F43" i="32" s="1"/>
  <c r="B44" i="28"/>
  <c r="C44" i="28"/>
  <c r="D44" i="28"/>
  <c r="E44" i="28"/>
  <c r="F44" i="28"/>
  <c r="G44" i="28"/>
  <c r="A44" i="28"/>
  <c r="X43" i="28"/>
  <c r="F42" i="32" s="1"/>
  <c r="B43" i="28"/>
  <c r="C43" i="28"/>
  <c r="D43" i="28"/>
  <c r="E43" i="28"/>
  <c r="F43" i="28"/>
  <c r="G43" i="28"/>
  <c r="A43" i="28"/>
  <c r="X42" i="28"/>
  <c r="F41" i="32" s="1"/>
  <c r="B42" i="28"/>
  <c r="C42" i="28"/>
  <c r="D42" i="28"/>
  <c r="E42" i="28"/>
  <c r="F42" i="28"/>
  <c r="G42" i="28"/>
  <c r="A42" i="28"/>
  <c r="X41" i="28"/>
  <c r="F40" i="32" s="1"/>
  <c r="B41" i="28"/>
  <c r="C41" i="28"/>
  <c r="D41" i="28"/>
  <c r="E41" i="28"/>
  <c r="F41" i="28"/>
  <c r="G41" i="28"/>
  <c r="A41" i="28"/>
  <c r="X40" i="28"/>
  <c r="F39" i="32" s="1"/>
  <c r="B40" i="28"/>
  <c r="C40" i="28"/>
  <c r="D40" i="28"/>
  <c r="E40" i="28"/>
  <c r="F40" i="28"/>
  <c r="G40" i="28"/>
  <c r="A40" i="28"/>
  <c r="X39" i="28"/>
  <c r="F38" i="32" s="1"/>
  <c r="B39" i="28"/>
  <c r="C39" i="28"/>
  <c r="D39" i="28"/>
  <c r="E39" i="28"/>
  <c r="F39" i="28"/>
  <c r="G39" i="28"/>
  <c r="A39" i="28"/>
  <c r="X38" i="28"/>
  <c r="F37" i="32" s="1"/>
  <c r="B38" i="28"/>
  <c r="C38" i="28"/>
  <c r="D38" i="28"/>
  <c r="E38" i="28"/>
  <c r="F38" i="28"/>
  <c r="G38" i="28"/>
  <c r="A38" i="28"/>
  <c r="X37" i="28"/>
  <c r="F36" i="32" s="1"/>
  <c r="B37" i="28"/>
  <c r="C37" i="28"/>
  <c r="D37" i="28"/>
  <c r="E37" i="28"/>
  <c r="F37" i="28"/>
  <c r="G37" i="28"/>
  <c r="A37" i="28"/>
  <c r="X36" i="28"/>
  <c r="F35" i="32" s="1"/>
  <c r="B36" i="28"/>
  <c r="C36" i="28"/>
  <c r="D36" i="28"/>
  <c r="E36" i="28"/>
  <c r="F36" i="28"/>
  <c r="G36" i="28"/>
  <c r="A36" i="28"/>
  <c r="X35" i="28"/>
  <c r="F34" i="32" s="1"/>
  <c r="B35" i="28"/>
  <c r="C35" i="28"/>
  <c r="D35" i="28"/>
  <c r="E35" i="28"/>
  <c r="F35" i="28"/>
  <c r="G35" i="28"/>
  <c r="A35" i="28"/>
  <c r="X34" i="28"/>
  <c r="F33" i="32" s="1"/>
  <c r="B34" i="28"/>
  <c r="C34" i="28"/>
  <c r="D34" i="28"/>
  <c r="E34" i="28"/>
  <c r="F34" i="28"/>
  <c r="G34" i="28"/>
  <c r="A34" i="28"/>
  <c r="X33" i="28"/>
  <c r="F32" i="32" s="1"/>
  <c r="B33" i="28"/>
  <c r="C33" i="28"/>
  <c r="D33" i="28"/>
  <c r="E33" i="28"/>
  <c r="F33" i="28"/>
  <c r="G33" i="28"/>
  <c r="A33" i="28"/>
  <c r="X32" i="28"/>
  <c r="F31" i="32" s="1"/>
  <c r="B32" i="28"/>
  <c r="C32" i="28"/>
  <c r="D32" i="28"/>
  <c r="E32" i="28"/>
  <c r="F32" i="28"/>
  <c r="G32" i="28"/>
  <c r="A32" i="28"/>
  <c r="X31" i="28"/>
  <c r="F30" i="32" s="1"/>
  <c r="B31" i="28"/>
  <c r="C31" i="28"/>
  <c r="D31" i="28"/>
  <c r="E31" i="28"/>
  <c r="F31" i="28"/>
  <c r="G31" i="28"/>
  <c r="A31" i="28"/>
  <c r="X30" i="28"/>
  <c r="F29" i="32" s="1"/>
  <c r="B30" i="28"/>
  <c r="C30" i="28"/>
  <c r="D30" i="28"/>
  <c r="E30" i="28"/>
  <c r="F30" i="28"/>
  <c r="G30" i="28"/>
  <c r="A30" i="28"/>
  <c r="X29" i="28"/>
  <c r="F28" i="32" s="1"/>
  <c r="B29" i="28"/>
  <c r="C29" i="28"/>
  <c r="D29" i="28"/>
  <c r="E29" i="28"/>
  <c r="F29" i="28"/>
  <c r="G29" i="28"/>
  <c r="A29" i="28"/>
  <c r="X28" i="28"/>
  <c r="F27" i="32" s="1"/>
  <c r="B28" i="28"/>
  <c r="C28" i="28"/>
  <c r="D28" i="28"/>
  <c r="E28" i="28"/>
  <c r="F28" i="28"/>
  <c r="G28" i="28"/>
  <c r="A28" i="28"/>
  <c r="X27" i="28"/>
  <c r="F26" i="32" s="1"/>
  <c r="B27" i="28"/>
  <c r="C27" i="28"/>
  <c r="D27" i="28"/>
  <c r="E27" i="28"/>
  <c r="F27" i="28"/>
  <c r="G27" i="28"/>
  <c r="A27" i="28"/>
  <c r="X26" i="28"/>
  <c r="F25" i="32" s="1"/>
  <c r="B26" i="28"/>
  <c r="C26" i="28"/>
  <c r="D26" i="28"/>
  <c r="E26" i="28"/>
  <c r="F26" i="28"/>
  <c r="G26" i="28"/>
  <c r="A26" i="28"/>
  <c r="X25" i="28"/>
  <c r="F24" i="32" s="1"/>
  <c r="B25" i="28"/>
  <c r="C25" i="28"/>
  <c r="D25" i="28"/>
  <c r="E25" i="28"/>
  <c r="F25" i="28"/>
  <c r="G25" i="28"/>
  <c r="A25" i="28"/>
  <c r="X24" i="28"/>
  <c r="F23" i="32" s="1"/>
  <c r="B24" i="28"/>
  <c r="C24" i="28"/>
  <c r="D24" i="28"/>
  <c r="E24" i="28"/>
  <c r="F24" i="28"/>
  <c r="G24" i="28"/>
  <c r="A24" i="28"/>
  <c r="X23" i="28"/>
  <c r="F22" i="32" s="1"/>
  <c r="B23" i="28"/>
  <c r="C23" i="28"/>
  <c r="D23" i="28"/>
  <c r="E23" i="28"/>
  <c r="F23" i="28"/>
  <c r="G23" i="28"/>
  <c r="A23" i="28"/>
  <c r="X22" i="28"/>
  <c r="F21" i="32" s="1"/>
  <c r="B22" i="28"/>
  <c r="C22" i="28"/>
  <c r="D22" i="28"/>
  <c r="E22" i="28"/>
  <c r="F22" i="28"/>
  <c r="G22" i="28"/>
  <c r="A22" i="28"/>
  <c r="X21" i="28"/>
  <c r="F20" i="32" s="1"/>
  <c r="B21" i="28"/>
  <c r="C21" i="28"/>
  <c r="D21" i="28"/>
  <c r="E21" i="28"/>
  <c r="F21" i="28"/>
  <c r="G21" i="28"/>
  <c r="A21" i="28"/>
  <c r="X20" i="28"/>
  <c r="F19" i="32" s="1"/>
  <c r="B20" i="28"/>
  <c r="C20" i="28"/>
  <c r="D20" i="28"/>
  <c r="E20" i="28"/>
  <c r="F20" i="28"/>
  <c r="G20" i="28"/>
  <c r="A20" i="28"/>
  <c r="X19" i="28"/>
  <c r="F18" i="32" s="1"/>
  <c r="B19" i="28"/>
  <c r="C19" i="28"/>
  <c r="D19" i="28"/>
  <c r="E19" i="28"/>
  <c r="F19" i="28"/>
  <c r="G19" i="28"/>
  <c r="A19" i="28"/>
  <c r="X18" i="28"/>
  <c r="F17" i="32" s="1"/>
  <c r="B18" i="28"/>
  <c r="C18" i="28"/>
  <c r="D18" i="28"/>
  <c r="E18" i="28"/>
  <c r="F18" i="28"/>
  <c r="G18" i="28"/>
  <c r="A18" i="28"/>
  <c r="X17" i="28"/>
  <c r="F16" i="32" s="1"/>
  <c r="B17" i="28"/>
  <c r="C17" i="28"/>
  <c r="D17" i="28"/>
  <c r="E17" i="28"/>
  <c r="F17" i="28"/>
  <c r="G17" i="28"/>
  <c r="A17" i="28"/>
  <c r="X16" i="28"/>
  <c r="F15" i="32" s="1"/>
  <c r="B16" i="28"/>
  <c r="C16" i="28"/>
  <c r="D16" i="28"/>
  <c r="E16" i="28"/>
  <c r="F16" i="28"/>
  <c r="G16" i="28"/>
  <c r="A16" i="28"/>
  <c r="X15" i="28"/>
  <c r="F14" i="32" s="1"/>
  <c r="B15" i="28"/>
  <c r="C15" i="28"/>
  <c r="D15" i="28"/>
  <c r="E15" i="28"/>
  <c r="F15" i="28"/>
  <c r="G15" i="28"/>
  <c r="A15" i="28"/>
  <c r="X14" i="28"/>
  <c r="F13" i="32" s="1"/>
  <c r="B14" i="28"/>
  <c r="C14" i="28"/>
  <c r="D14" i="28"/>
  <c r="E14" i="28"/>
  <c r="F14" i="28"/>
  <c r="G14" i="28"/>
  <c r="A14" i="28"/>
  <c r="X13" i="28"/>
  <c r="F12" i="32" s="1"/>
  <c r="B13" i="28"/>
  <c r="C13" i="28"/>
  <c r="D13" i="28"/>
  <c r="E13" i="28"/>
  <c r="F13" i="28"/>
  <c r="G13" i="28"/>
  <c r="A13" i="28"/>
  <c r="X12" i="28"/>
  <c r="F11" i="32" s="1"/>
  <c r="B12" i="28"/>
  <c r="C12" i="28"/>
  <c r="D12" i="28"/>
  <c r="E12" i="28"/>
  <c r="F12" i="28"/>
  <c r="G12" i="28"/>
  <c r="A12" i="28"/>
  <c r="X11" i="28"/>
  <c r="F10" i="32" s="1"/>
  <c r="B11" i="28"/>
  <c r="C11" i="28"/>
  <c r="D11" i="28"/>
  <c r="E11" i="28"/>
  <c r="F11" i="28"/>
  <c r="G11" i="28"/>
  <c r="A11" i="28"/>
  <c r="X10" i="28"/>
  <c r="F9" i="32" s="1"/>
  <c r="B10" i="28"/>
  <c r="C10" i="28"/>
  <c r="D10" i="28"/>
  <c r="E10" i="28"/>
  <c r="F10" i="28"/>
  <c r="G10" i="28"/>
  <c r="A10" i="28"/>
  <c r="X9" i="28"/>
  <c r="F8" i="32" s="1"/>
  <c r="B9" i="28"/>
  <c r="C9" i="28"/>
  <c r="D9" i="28"/>
  <c r="E9" i="28"/>
  <c r="F9" i="28"/>
  <c r="G9" i="28"/>
  <c r="A9" i="28"/>
  <c r="X8" i="28"/>
  <c r="F7" i="32" s="1"/>
  <c r="B8" i="28"/>
  <c r="C8" i="28"/>
  <c r="D8" i="28"/>
  <c r="E8" i="28"/>
  <c r="F8" i="28"/>
  <c r="G8" i="28"/>
  <c r="A8" i="28"/>
  <c r="X7" i="28"/>
  <c r="F6" i="32" s="1"/>
  <c r="B7" i="28"/>
  <c r="C7" i="28"/>
  <c r="D7" i="28"/>
  <c r="E7" i="28"/>
  <c r="F7" i="28"/>
  <c r="G7" i="28"/>
  <c r="A7" i="28"/>
  <c r="X6" i="28"/>
  <c r="F5" i="32" s="1"/>
  <c r="B6" i="28"/>
  <c r="C6" i="28"/>
  <c r="D6" i="28"/>
  <c r="E6" i="28"/>
  <c r="F6" i="28"/>
  <c r="G6" i="28"/>
  <c r="A6" i="28"/>
  <c r="B2" i="24"/>
  <c r="B2" i="23"/>
  <c r="B2" i="22"/>
  <c r="B2" i="21"/>
  <c r="B2" i="18"/>
  <c r="B2" i="15"/>
  <c r="B3" i="15"/>
  <c r="B2" i="16" l="1"/>
  <c r="B2" i="17"/>
  <c r="C4" i="32"/>
  <c r="C10" i="32"/>
  <c r="C14" i="32"/>
  <c r="C21" i="32"/>
  <c r="C24" i="32"/>
  <c r="C29" i="32"/>
  <c r="C34" i="32"/>
  <c r="C36" i="32"/>
  <c r="B39" i="32"/>
  <c r="E41" i="32"/>
  <c r="B44" i="32"/>
  <c r="B48" i="32"/>
  <c r="E48" i="32"/>
  <c r="C50" i="32"/>
  <c r="B51" i="32"/>
  <c r="E53" i="32"/>
  <c r="E55" i="32"/>
  <c r="C56" i="32"/>
  <c r="B58" i="32"/>
  <c r="E58" i="32"/>
  <c r="C60" i="32"/>
  <c r="B62" i="32"/>
  <c r="E62" i="32"/>
  <c r="B3" i="21"/>
  <c r="B3" i="20"/>
  <c r="B2" i="20"/>
  <c r="B3" i="19"/>
  <c r="B2" i="19"/>
  <c r="B3" i="24"/>
  <c r="B3" i="23"/>
  <c r="B3" i="18"/>
  <c r="B3" i="17"/>
  <c r="B3" i="22"/>
  <c r="B3" i="16"/>
  <c r="C6" i="32"/>
  <c r="C8" i="32"/>
  <c r="C12" i="32"/>
  <c r="C16" i="32"/>
  <c r="C18" i="32"/>
  <c r="C20" i="32"/>
  <c r="C22" i="32"/>
  <c r="C26" i="32"/>
  <c r="C28" i="32"/>
  <c r="C30" i="32"/>
  <c r="C32" i="32"/>
  <c r="B37" i="32"/>
  <c r="E37" i="32"/>
  <c r="B38" i="32"/>
  <c r="C38" i="32"/>
  <c r="E38" i="32"/>
  <c r="E39" i="32"/>
  <c r="B40" i="32"/>
  <c r="C40" i="32"/>
  <c r="E40" i="32"/>
  <c r="B42" i="32"/>
  <c r="C42" i="32"/>
  <c r="E42" i="32"/>
  <c r="B43" i="32"/>
  <c r="E43" i="32"/>
  <c r="C44" i="32"/>
  <c r="E44" i="32"/>
  <c r="E45" i="32"/>
  <c r="B46" i="32"/>
  <c r="C46" i="32"/>
  <c r="E46" i="32"/>
  <c r="E47" i="32"/>
  <c r="C48" i="32"/>
  <c r="B49" i="32"/>
  <c r="E49" i="32"/>
  <c r="B50" i="32"/>
  <c r="E50" i="32"/>
  <c r="E51" i="32"/>
  <c r="B52" i="32"/>
  <c r="C52" i="32"/>
  <c r="E52" i="32"/>
  <c r="B53" i="32"/>
  <c r="B54" i="32"/>
  <c r="C54" i="32"/>
  <c r="E54" i="32"/>
  <c r="B56" i="32"/>
  <c r="E56" i="32"/>
  <c r="E57" i="32"/>
  <c r="C58" i="32"/>
  <c r="E59" i="32"/>
  <c r="B60" i="32"/>
  <c r="E60" i="32"/>
  <c r="B61" i="32"/>
  <c r="E61" i="32"/>
  <c r="C62" i="32"/>
  <c r="B3" i="25"/>
  <c r="B2" i="25"/>
  <c r="C5" i="32"/>
  <c r="C7" i="32"/>
  <c r="C9" i="32"/>
  <c r="C11" i="32"/>
  <c r="C13" i="32"/>
  <c r="C15" i="32"/>
  <c r="C17" i="32"/>
  <c r="C19" i="32"/>
  <c r="C23" i="32"/>
  <c r="C25" i="32"/>
  <c r="C27" i="32"/>
  <c r="C31" i="32"/>
  <c r="C33" i="32"/>
  <c r="C35" i="32"/>
  <c r="C37" i="32"/>
  <c r="C39" i="32"/>
  <c r="B41" i="32"/>
  <c r="C41" i="32"/>
  <c r="C43" i="32"/>
  <c r="B45" i="32"/>
  <c r="C45" i="32"/>
  <c r="B47" i="32"/>
  <c r="C47" i="32"/>
  <c r="C49" i="32"/>
  <c r="C51" i="32"/>
  <c r="C53" i="32"/>
  <c r="B55" i="32"/>
  <c r="C55" i="32"/>
  <c r="B57" i="32"/>
  <c r="C57" i="32"/>
  <c r="B59" i="32"/>
  <c r="C59" i="32"/>
  <c r="C61" i="32"/>
  <c r="Z61" i="28" l="1"/>
  <c r="Z60" i="28"/>
  <c r="Z57" i="28"/>
  <c r="Z54" i="28"/>
  <c r="Z51" i="28"/>
  <c r="Z48" i="28"/>
  <c r="Z45" i="28"/>
  <c r="Z42" i="28"/>
  <c r="Z39" i="28"/>
  <c r="Z36" i="28"/>
  <c r="Z33" i="28"/>
  <c r="Z30" i="28"/>
  <c r="Z27" i="28"/>
  <c r="Z24" i="28"/>
  <c r="Z21" i="28"/>
  <c r="Z18" i="28"/>
  <c r="Z15" i="28"/>
  <c r="Z12" i="28"/>
  <c r="Z9" i="28"/>
  <c r="Z6" i="28"/>
  <c r="Z59" i="28"/>
  <c r="Z56" i="28"/>
  <c r="Z53" i="28"/>
  <c r="Z50" i="28"/>
  <c r="Z47" i="28"/>
  <c r="Z44" i="28"/>
  <c r="Z41" i="28"/>
  <c r="Z38" i="28"/>
  <c r="Z35" i="28"/>
  <c r="Z32" i="28"/>
  <c r="Z29" i="28"/>
  <c r="Z26" i="28"/>
  <c r="Z23" i="28"/>
  <c r="Z20" i="28"/>
  <c r="Z17" i="28"/>
  <c r="Z14" i="28"/>
  <c r="Z11" i="28"/>
  <c r="Z8" i="28"/>
  <c r="Z43" i="28"/>
  <c r="Z40" i="28"/>
  <c r="Z37" i="28"/>
  <c r="Z34" i="28"/>
  <c r="Z25" i="28"/>
  <c r="Z22" i="28"/>
  <c r="Z58" i="28"/>
  <c r="Z55" i="28"/>
  <c r="Z52" i="28"/>
  <c r="Z49" i="28"/>
  <c r="Z46" i="28"/>
  <c r="Z31" i="28"/>
  <c r="Z28" i="28"/>
  <c r="Z16" i="28"/>
  <c r="Z7" i="28"/>
  <c r="Z10" i="28"/>
  <c r="Z13" i="28"/>
  <c r="Z19" i="28"/>
  <c r="Z5" i="28"/>
  <c r="Z63" i="28"/>
  <c r="Z62" i="28"/>
  <c r="H43" i="32"/>
  <c r="H4" i="32"/>
  <c r="H27" i="32"/>
  <c r="H59" i="32"/>
  <c r="H49" i="32"/>
  <c r="H48" i="32"/>
  <c r="H14" i="32"/>
  <c r="H52" i="32"/>
  <c r="H26" i="32"/>
  <c r="H56" i="32"/>
  <c r="H10" i="32"/>
  <c r="H9" i="32"/>
  <c r="H50" i="32"/>
  <c r="H53" i="32"/>
  <c r="H25" i="32"/>
  <c r="H40" i="32"/>
  <c r="H12" i="32"/>
  <c r="H60" i="32"/>
  <c r="H24" i="32"/>
  <c r="H61" i="32"/>
  <c r="H51" i="32"/>
  <c r="H23" i="32"/>
  <c r="H5" i="32"/>
  <c r="H44" i="32"/>
  <c r="H30" i="32"/>
  <c r="H8" i="32"/>
  <c r="H21" i="32"/>
  <c r="H19" i="32"/>
  <c r="H28" i="32"/>
  <c r="H47" i="32"/>
  <c r="H37" i="32"/>
  <c r="H17" i="32"/>
  <c r="H57" i="32"/>
  <c r="H35" i="32"/>
  <c r="H15" i="32"/>
  <c r="H62" i="32"/>
  <c r="H38" i="32"/>
  <c r="H22" i="32"/>
  <c r="H45" i="32"/>
  <c r="H33" i="32"/>
  <c r="H13" i="32"/>
  <c r="H46" i="32"/>
  <c r="H42" i="32"/>
  <c r="H20" i="32"/>
  <c r="H36" i="32"/>
  <c r="H29" i="32"/>
  <c r="H41" i="32"/>
  <c r="H55" i="32"/>
  <c r="H31" i="32"/>
  <c r="H18" i="32"/>
  <c r="H34" i="32"/>
  <c r="B4" i="32"/>
  <c r="E4" i="32"/>
  <c r="B5" i="32"/>
  <c r="E5" i="32"/>
  <c r="B6" i="32"/>
  <c r="E6" i="32"/>
  <c r="B7" i="32"/>
  <c r="E7" i="32"/>
  <c r="B8" i="32"/>
  <c r="E8" i="32"/>
  <c r="B9" i="32"/>
  <c r="E9" i="32"/>
  <c r="B10" i="32"/>
  <c r="E10" i="32"/>
  <c r="B11" i="32"/>
  <c r="E11" i="32"/>
  <c r="B12" i="32"/>
  <c r="E12" i="32"/>
  <c r="B13" i="32"/>
  <c r="E13" i="32"/>
  <c r="B14" i="32"/>
  <c r="E14" i="32"/>
  <c r="B15" i="32"/>
  <c r="E15" i="32"/>
  <c r="B16" i="32"/>
  <c r="E16" i="32"/>
  <c r="B17" i="32"/>
  <c r="E17" i="32"/>
  <c r="B18" i="32"/>
  <c r="E18" i="32"/>
  <c r="B19" i="32"/>
  <c r="E19" i="32"/>
  <c r="B20" i="32"/>
  <c r="E20" i="32"/>
  <c r="B21" i="32"/>
  <c r="E21" i="32"/>
  <c r="B22" i="32"/>
  <c r="E22" i="32"/>
  <c r="B23" i="32"/>
  <c r="E23" i="32"/>
  <c r="B24" i="32"/>
  <c r="E24" i="32"/>
  <c r="Y25" i="28" s="1"/>
  <c r="B25" i="32"/>
  <c r="E25" i="32"/>
  <c r="B26" i="32"/>
  <c r="E26" i="32"/>
  <c r="B27" i="32"/>
  <c r="E27" i="32"/>
  <c r="B28" i="32"/>
  <c r="E28" i="32"/>
  <c r="B29" i="32"/>
  <c r="E29" i="32"/>
  <c r="B30" i="32"/>
  <c r="E30" i="32"/>
  <c r="B31" i="32"/>
  <c r="E31" i="32"/>
  <c r="B32" i="32"/>
  <c r="E32" i="32"/>
  <c r="B33" i="32"/>
  <c r="E33" i="32"/>
  <c r="B34" i="32"/>
  <c r="E34" i="32"/>
  <c r="B35" i="32"/>
  <c r="E35" i="32"/>
  <c r="B36" i="32"/>
  <c r="E36" i="32"/>
  <c r="J28" i="32" l="1"/>
  <c r="AA29" i="28" s="1"/>
  <c r="Y34" i="28"/>
  <c r="Y30" i="28"/>
  <c r="Y20" i="28"/>
  <c r="J34" i="32"/>
  <c r="AA35" i="28" s="1"/>
  <c r="J26" i="32"/>
  <c r="AA27" i="28" s="1"/>
  <c r="J22" i="32"/>
  <c r="AA23" i="28" s="1"/>
  <c r="Y19" i="28"/>
  <c r="J14" i="32"/>
  <c r="AA15" i="28" s="1"/>
  <c r="Y11" i="28"/>
  <c r="J19" i="32"/>
  <c r="AA20" i="28" s="1"/>
  <c r="J21" i="32"/>
  <c r="AA22" i="28" s="1"/>
  <c r="J36" i="32"/>
  <c r="AA37" i="28" s="1"/>
  <c r="J32" i="32"/>
  <c r="AA33" i="28" s="1"/>
  <c r="Y17" i="28"/>
  <c r="Y21" i="28"/>
  <c r="Y9" i="28"/>
  <c r="J43" i="32"/>
  <c r="AA44" i="28" s="1"/>
  <c r="J56" i="32"/>
  <c r="AA57" i="28" s="1"/>
  <c r="J29" i="32"/>
  <c r="AA30" i="28" s="1"/>
  <c r="J18" i="32"/>
  <c r="AA19" i="28" s="1"/>
  <c r="J11" i="32"/>
  <c r="AA12" i="28" s="1"/>
  <c r="J6" i="32"/>
  <c r="AA7" i="28" s="1"/>
  <c r="Y5" i="28"/>
  <c r="J35" i="32"/>
  <c r="AA36" i="28" s="1"/>
  <c r="J13" i="32"/>
  <c r="AA14" i="28" s="1"/>
  <c r="J15" i="32"/>
  <c r="AA16" i="28" s="1"/>
  <c r="Y16" i="28"/>
  <c r="Y54" i="28"/>
  <c r="J17" i="32"/>
  <c r="AA18" i="28" s="1"/>
  <c r="J39" i="32"/>
  <c r="AA40" i="28" s="1"/>
  <c r="Y12" i="28"/>
  <c r="J9" i="32"/>
  <c r="AA10" i="28" s="1"/>
  <c r="J44" i="32"/>
  <c r="AA45" i="28" s="1"/>
  <c r="J5" i="32"/>
  <c r="AA6" i="28" s="1"/>
  <c r="Y14" i="28"/>
  <c r="J25" i="32"/>
  <c r="AA26" i="28" s="1"/>
  <c r="J51" i="32"/>
  <c r="AA52" i="28" s="1"/>
  <c r="Y18" i="28"/>
  <c r="Y49" i="28"/>
  <c r="J31" i="32"/>
  <c r="AA32" i="28" s="1"/>
  <c r="Y15" i="28"/>
  <c r="J7" i="32"/>
  <c r="AA8" i="28" s="1"/>
  <c r="J40" i="32"/>
  <c r="AA41" i="28" s="1"/>
  <c r="J55" i="32"/>
  <c r="AA56" i="28" s="1"/>
  <c r="Y59" i="28"/>
  <c r="Y33" i="28"/>
  <c r="J58" i="32"/>
  <c r="AA59" i="28" s="1"/>
  <c r="Y13" i="28"/>
  <c r="J20" i="32"/>
  <c r="AA21" i="28" s="1"/>
  <c r="J10" i="32"/>
  <c r="AA11" i="28" s="1"/>
  <c r="J42" i="32"/>
  <c r="AA43" i="28" s="1"/>
  <c r="J54" i="32"/>
  <c r="AA55" i="28" s="1"/>
  <c r="Y42" i="28"/>
  <c r="Y55" i="28"/>
  <c r="J53" i="32"/>
  <c r="AA54" i="28" s="1"/>
  <c r="Y32" i="28"/>
  <c r="Y31" i="28"/>
  <c r="J30" i="32"/>
  <c r="AA31" i="28" s="1"/>
  <c r="Y22" i="28"/>
  <c r="J60" i="32"/>
  <c r="Y28" i="28"/>
  <c r="Y51" i="28"/>
  <c r="J33" i="32"/>
  <c r="AA34" i="28" s="1"/>
  <c r="Y27" i="28"/>
  <c r="Y43" i="28"/>
  <c r="Y29" i="28"/>
  <c r="Y10" i="28"/>
  <c r="Y39" i="28"/>
  <c r="Y26" i="28"/>
  <c r="Y37" i="28"/>
  <c r="Y56" i="28"/>
  <c r="Y58" i="28"/>
  <c r="Y44" i="28"/>
  <c r="Y24" i="28"/>
  <c r="Y40" i="28"/>
  <c r="J23" i="32"/>
  <c r="AA24" i="28" s="1"/>
  <c r="Y46" i="28"/>
  <c r="J47" i="32"/>
  <c r="AA48" i="28" s="1"/>
  <c r="J12" i="32"/>
  <c r="AA13" i="28" s="1"/>
  <c r="J27" i="32"/>
  <c r="AA28" i="28" s="1"/>
  <c r="Y47" i="28"/>
  <c r="Y53" i="28"/>
  <c r="Y38" i="28"/>
  <c r="J37" i="32"/>
  <c r="AA38" i="28" s="1"/>
  <c r="Y52" i="28"/>
  <c r="Y45" i="28"/>
  <c r="Y57" i="28"/>
  <c r="Y23" i="28"/>
  <c r="J48" i="32"/>
  <c r="AA49" i="28" s="1"/>
  <c r="J4" i="32"/>
  <c r="AA5" i="28" s="1"/>
  <c r="J46" i="32"/>
  <c r="AA47" i="28" s="1"/>
  <c r="J59" i="32"/>
  <c r="J62" i="32"/>
  <c r="J50" i="32"/>
  <c r="AA51" i="28" s="1"/>
  <c r="J52" i="32"/>
  <c r="AA53" i="28" s="1"/>
  <c r="J38" i="32"/>
  <c r="AA39" i="28" s="1"/>
  <c r="J16" i="32"/>
  <c r="AA17" i="28" s="1"/>
  <c r="Y48" i="28"/>
  <c r="J41" i="32"/>
  <c r="AA42" i="28" s="1"/>
  <c r="J57" i="32"/>
  <c r="AA58" i="28" s="1"/>
  <c r="Y50" i="28"/>
  <c r="J45" i="32"/>
  <c r="AA46" i="28" s="1"/>
  <c r="J24" i="32"/>
  <c r="AA25" i="28" s="1"/>
  <c r="J61" i="32"/>
  <c r="J8" i="32"/>
  <c r="AA9" i="28" s="1"/>
  <c r="J49" i="32"/>
  <c r="AA50" i="28" s="1"/>
  <c r="R4" i="25"/>
  <c r="AA61" i="28" l="1"/>
  <c r="AA60" i="28"/>
  <c r="AA63" i="28"/>
  <c r="AA62" i="28"/>
  <c r="Y61" i="28"/>
  <c r="Y62" i="28"/>
  <c r="Y60" i="28"/>
  <c r="Y63" i="28"/>
  <c r="D13" i="17" a="1"/>
  <c r="I13" i="17" s="1"/>
  <c r="D3" i="19" a="1"/>
  <c r="J3" i="19" s="1"/>
  <c r="D5" i="19" a="1"/>
  <c r="D7" i="19" a="1"/>
  <c r="D9" i="19" a="1"/>
  <c r="D11" i="19" a="1"/>
  <c r="D13" i="19" a="1"/>
  <c r="D3" i="18" a="1"/>
  <c r="D5" i="18" a="1"/>
  <c r="D7" i="18" a="1"/>
  <c r="D9" i="18" a="1"/>
  <c r="D11" i="18" a="1"/>
  <c r="D13" i="18" a="1"/>
  <c r="J4" i="19" l="1" a="1"/>
  <c r="J4" i="19" s="1"/>
  <c r="H13" i="17"/>
  <c r="E13" i="17"/>
  <c r="D13" i="17"/>
  <c r="G13" i="17"/>
  <c r="F13" i="17"/>
  <c r="J13" i="17"/>
  <c r="D13" i="24" a="1"/>
  <c r="H13" i="24" s="1"/>
  <c r="D3" i="24" a="1"/>
  <c r="J3" i="24" s="1"/>
  <c r="J4" i="24" s="1" a="1"/>
  <c r="J4" i="24" s="1"/>
  <c r="D7" i="24" a="1"/>
  <c r="I7" i="24" s="1"/>
  <c r="I8" i="24" s="1" a="1"/>
  <c r="I8" i="24" s="1"/>
  <c r="D11" i="24" a="1"/>
  <c r="D9" i="24" a="1"/>
  <c r="I9" i="24" s="1"/>
  <c r="I10" i="24" s="1" a="1"/>
  <c r="I10" i="24" s="1"/>
  <c r="D5" i="24" a="1"/>
  <c r="J5" i="24" s="1"/>
  <c r="J6" i="24" s="1" a="1"/>
  <c r="J6" i="24" s="1"/>
  <c r="D13" i="21" a="1"/>
  <c r="E13" i="21" s="1"/>
  <c r="E14" i="21" s="1" a="1"/>
  <c r="E14" i="21" s="1"/>
  <c r="D11" i="21" a="1"/>
  <c r="E11" i="21" s="1"/>
  <c r="E12" i="21" s="1" a="1"/>
  <c r="E12" i="21" s="1"/>
  <c r="D9" i="21" a="1"/>
  <c r="E9" i="21" s="1"/>
  <c r="E10" i="21" s="1" a="1"/>
  <c r="E10" i="21" s="1"/>
  <c r="D7" i="21" a="1"/>
  <c r="E7" i="21" s="1"/>
  <c r="E8" i="21" s="1" a="1"/>
  <c r="E8" i="21" s="1"/>
  <c r="D3" i="21" a="1"/>
  <c r="D5" i="21" a="1"/>
  <c r="D13" i="20" a="1"/>
  <c r="D9" i="20" a="1"/>
  <c r="D3" i="20" a="1"/>
  <c r="D11" i="20" a="1"/>
  <c r="D7" i="20" a="1"/>
  <c r="D5" i="20" a="1"/>
  <c r="D3" i="19"/>
  <c r="D9" i="19"/>
  <c r="D10" i="19" s="1" a="1"/>
  <c r="D10" i="19" s="1"/>
  <c r="D5" i="19"/>
  <c r="D13" i="19"/>
  <c r="J9" i="19"/>
  <c r="J10" i="19" s="1" a="1"/>
  <c r="J10" i="19" s="1"/>
  <c r="J7" i="19"/>
  <c r="J8" i="19" s="1" a="1"/>
  <c r="J8" i="19" s="1"/>
  <c r="D11" i="19"/>
  <c r="D12" i="19" s="1" a="1"/>
  <c r="D12" i="19" s="1"/>
  <c r="D7" i="19"/>
  <c r="J5" i="19"/>
  <c r="J6" i="19" s="1" a="1"/>
  <c r="J6" i="19" s="1"/>
  <c r="J11" i="19"/>
  <c r="I13" i="19"/>
  <c r="I11" i="19"/>
  <c r="I9" i="19"/>
  <c r="I10" i="19" s="1" a="1"/>
  <c r="I10" i="19" s="1"/>
  <c r="I7" i="19"/>
  <c r="I8" i="19" s="1" a="1"/>
  <c r="I8" i="19" s="1"/>
  <c r="I5" i="19"/>
  <c r="I6" i="19" s="1" a="1"/>
  <c r="I6" i="19" s="1"/>
  <c r="I3" i="19"/>
  <c r="H11" i="19"/>
  <c r="H12" i="19" s="1" a="1"/>
  <c r="H12" i="19" s="1"/>
  <c r="H7" i="19"/>
  <c r="H8" i="19" s="1" a="1"/>
  <c r="H8" i="19" s="1"/>
  <c r="H5" i="19"/>
  <c r="H6" i="19" s="1" a="1"/>
  <c r="H6" i="19" s="1"/>
  <c r="H3" i="19"/>
  <c r="G13" i="19"/>
  <c r="G11" i="19"/>
  <c r="G12" i="19" s="1" a="1"/>
  <c r="G12" i="19" s="1"/>
  <c r="G9" i="19"/>
  <c r="G10" i="19" s="1" a="1"/>
  <c r="G10" i="19" s="1"/>
  <c r="G7" i="19"/>
  <c r="G8" i="19" s="1" a="1"/>
  <c r="G8" i="19" s="1"/>
  <c r="G5" i="19"/>
  <c r="G6" i="19" s="1" a="1"/>
  <c r="G6" i="19" s="1"/>
  <c r="G3" i="19"/>
  <c r="J13" i="19"/>
  <c r="H13" i="19"/>
  <c r="H9" i="19"/>
  <c r="H10" i="19" s="1" a="1"/>
  <c r="H10" i="19" s="1"/>
  <c r="F13" i="19"/>
  <c r="F11" i="19"/>
  <c r="F12" i="19" s="1" a="1"/>
  <c r="F12" i="19" s="1"/>
  <c r="F9" i="19"/>
  <c r="F10" i="19" s="1" a="1"/>
  <c r="F10" i="19" s="1"/>
  <c r="F7" i="19"/>
  <c r="F8" i="19" s="1" a="1"/>
  <c r="F8" i="19" s="1"/>
  <c r="F5" i="19"/>
  <c r="F6" i="19" s="1" a="1"/>
  <c r="F6" i="19" s="1"/>
  <c r="F3" i="19"/>
  <c r="E13" i="19"/>
  <c r="E11" i="19"/>
  <c r="E12" i="19" s="1" a="1"/>
  <c r="E12" i="19" s="1"/>
  <c r="E9" i="19"/>
  <c r="E10" i="19" s="1" a="1"/>
  <c r="E10" i="19" s="1"/>
  <c r="E7" i="19"/>
  <c r="E8" i="19" s="1" a="1"/>
  <c r="E8" i="19" s="1"/>
  <c r="E5" i="19"/>
  <c r="E6" i="19" s="1" a="1"/>
  <c r="E6" i="19" s="1"/>
  <c r="E3" i="19"/>
  <c r="D13" i="18"/>
  <c r="D11" i="18"/>
  <c r="D12" i="18" s="1" a="1"/>
  <c r="D12" i="18" s="1"/>
  <c r="D9" i="18"/>
  <c r="D7" i="18"/>
  <c r="D5" i="18"/>
  <c r="D6" i="18" s="1" a="1"/>
  <c r="D6" i="18" s="1"/>
  <c r="D3" i="18"/>
  <c r="J9" i="18"/>
  <c r="J10" i="18" s="1" a="1"/>
  <c r="J10" i="18" s="1"/>
  <c r="J7" i="18"/>
  <c r="J8" i="18" s="1" a="1"/>
  <c r="J8" i="18" s="1"/>
  <c r="J5" i="18"/>
  <c r="J6" i="18" s="1" a="1"/>
  <c r="J6" i="18" s="1"/>
  <c r="J3" i="18"/>
  <c r="J4" i="18" s="1" a="1"/>
  <c r="J4" i="18" s="1"/>
  <c r="J11" i="18"/>
  <c r="I3" i="18"/>
  <c r="I4" i="18" s="1" a="1"/>
  <c r="I4" i="18" s="1"/>
  <c r="J13" i="18"/>
  <c r="I13" i="18"/>
  <c r="I11" i="18"/>
  <c r="I9" i="18"/>
  <c r="I10" i="18" s="1" a="1"/>
  <c r="I10" i="18" s="1"/>
  <c r="I7" i="18"/>
  <c r="I8" i="18" s="1" a="1"/>
  <c r="I8" i="18" s="1"/>
  <c r="I5" i="18"/>
  <c r="I6" i="18" s="1" a="1"/>
  <c r="I6" i="18" s="1"/>
  <c r="H13" i="18"/>
  <c r="H11" i="18"/>
  <c r="H9" i="18"/>
  <c r="H10" i="18" s="1" a="1"/>
  <c r="H10" i="18" s="1"/>
  <c r="H7" i="18"/>
  <c r="H8" i="18" s="1" a="1"/>
  <c r="H8" i="18" s="1"/>
  <c r="H5" i="18"/>
  <c r="H6" i="18" s="1" a="1"/>
  <c r="H6" i="18" s="1"/>
  <c r="H3" i="18"/>
  <c r="H4" i="18" s="1" a="1"/>
  <c r="H4" i="18" s="1"/>
  <c r="G13" i="18"/>
  <c r="G11" i="18"/>
  <c r="G9" i="18"/>
  <c r="G10" i="18" s="1" a="1"/>
  <c r="G10" i="18" s="1"/>
  <c r="G7" i="18"/>
  <c r="G8" i="18" s="1" a="1"/>
  <c r="G8" i="18" s="1"/>
  <c r="G5" i="18"/>
  <c r="G6" i="18" s="1" a="1"/>
  <c r="G6" i="18" s="1"/>
  <c r="G3" i="18"/>
  <c r="G4" i="18" s="1" a="1"/>
  <c r="G4" i="18" s="1"/>
  <c r="F13" i="18"/>
  <c r="F11" i="18"/>
  <c r="F9" i="18"/>
  <c r="F10" i="18" s="1" a="1"/>
  <c r="F10" i="18" s="1"/>
  <c r="F7" i="18"/>
  <c r="F8" i="18" s="1" a="1"/>
  <c r="F8" i="18" s="1"/>
  <c r="F5" i="18"/>
  <c r="F6" i="18" s="1" a="1"/>
  <c r="F6" i="18" s="1"/>
  <c r="F3" i="18"/>
  <c r="F4" i="18" s="1" a="1"/>
  <c r="F4" i="18" s="1"/>
  <c r="E13" i="18"/>
  <c r="E11" i="18"/>
  <c r="E12" i="18" s="1" a="1"/>
  <c r="E12" i="18" s="1"/>
  <c r="E9" i="18"/>
  <c r="E10" i="18" s="1" a="1"/>
  <c r="E10" i="18" s="1"/>
  <c r="E7" i="18"/>
  <c r="E8" i="18" s="1" a="1"/>
  <c r="E8" i="18" s="1"/>
  <c r="E5" i="18"/>
  <c r="E6" i="18" s="1" a="1"/>
  <c r="E6" i="18" s="1"/>
  <c r="E3" i="18"/>
  <c r="E4" i="18" s="1" a="1"/>
  <c r="E4" i="18" s="1"/>
  <c r="D11" i="17" a="1"/>
  <c r="D3" i="17" a="1"/>
  <c r="D7" i="17" a="1"/>
  <c r="D9" i="17" a="1"/>
  <c r="D5" i="17" a="1"/>
  <c r="D13" i="15" a="1"/>
  <c r="D13" i="15" s="1"/>
  <c r="D11" i="15" a="1"/>
  <c r="D11" i="15" s="1"/>
  <c r="D12" i="15" s="1" a="1"/>
  <c r="D12" i="15" s="1"/>
  <c r="D7" i="15" a="1"/>
  <c r="D7" i="15" s="1"/>
  <c r="D9" i="15" a="1"/>
  <c r="D9" i="15" s="1"/>
  <c r="D3" i="15" a="1"/>
  <c r="D5" i="15" a="1"/>
  <c r="D13" i="16" a="1"/>
  <c r="D13" i="16" s="1"/>
  <c r="D14" i="16" s="1" a="1"/>
  <c r="D14" i="16" s="1"/>
  <c r="D11" i="16" a="1"/>
  <c r="D11" i="16" s="1"/>
  <c r="D9" i="16" a="1"/>
  <c r="D9" i="16" s="1"/>
  <c r="D7" i="16" a="1"/>
  <c r="D7" i="16" s="1"/>
  <c r="D3" i="16" a="1"/>
  <c r="D5" i="16" a="1"/>
  <c r="D13" i="14" a="1"/>
  <c r="D11" i="14" a="1"/>
  <c r="D9" i="14" a="1"/>
  <c r="D7" i="14" a="1"/>
  <c r="D5" i="14" a="1"/>
  <c r="D3" i="14" a="1"/>
  <c r="D13" i="25" a="1"/>
  <c r="D3" i="25" a="1"/>
  <c r="D9" i="25" a="1"/>
  <c r="D5" i="25" a="1"/>
  <c r="D11" i="25" a="1"/>
  <c r="D7" i="25" a="1"/>
  <c r="D13" i="23" a="1"/>
  <c r="D11" i="23" a="1"/>
  <c r="D9" i="23" a="1"/>
  <c r="D7" i="23" a="1"/>
  <c r="D5" i="23" a="1"/>
  <c r="D3" i="23" a="1"/>
  <c r="D13" i="22" a="1"/>
  <c r="D11" i="22" a="1"/>
  <c r="D9" i="22" a="1"/>
  <c r="D7" i="22" a="1"/>
  <c r="D5" i="22" a="1"/>
  <c r="D3" i="22" a="1"/>
  <c r="D8" i="19" l="1" a="1"/>
  <c r="D8" i="19" s="1"/>
  <c r="D6" i="19" a="1"/>
  <c r="D6" i="19" s="1"/>
  <c r="H4" i="19" a="1"/>
  <c r="H4" i="19" s="1"/>
  <c r="F4" i="19" a="1"/>
  <c r="F4" i="19" s="1"/>
  <c r="G4" i="19" a="1"/>
  <c r="G4" i="19" s="1"/>
  <c r="I4" i="19" a="1"/>
  <c r="I4" i="19" s="1"/>
  <c r="D10" i="18" a="1"/>
  <c r="D10" i="18" s="1"/>
  <c r="D8" i="18" a="1"/>
  <c r="D8" i="18" s="1"/>
  <c r="D4" i="18" a="1"/>
  <c r="D4" i="18" s="1"/>
  <c r="D10" i="15" a="1"/>
  <c r="D10" i="15" s="1"/>
  <c r="D8" i="15" a="1"/>
  <c r="D8" i="15" s="1"/>
  <c r="D12" i="16" a="1"/>
  <c r="D12" i="16" s="1"/>
  <c r="D10" i="16" a="1"/>
  <c r="D10" i="16" s="1"/>
  <c r="G13" i="24"/>
  <c r="E13" i="24"/>
  <c r="I13" i="24"/>
  <c r="D3" i="24"/>
  <c r="F13" i="24"/>
  <c r="J13" i="24"/>
  <c r="D13" i="24"/>
  <c r="H7" i="24"/>
  <c r="H8" i="24" s="1" a="1"/>
  <c r="H8" i="24" s="1"/>
  <c r="G7" i="24"/>
  <c r="G8" i="24" s="1" a="1"/>
  <c r="G8" i="24" s="1"/>
  <c r="F3" i="24"/>
  <c r="F4" i="24" s="1" a="1"/>
  <c r="F4" i="24" s="1"/>
  <c r="F7" i="24"/>
  <c r="F8" i="24" s="1" a="1"/>
  <c r="F8" i="24" s="1"/>
  <c r="I3" i="24"/>
  <c r="I4" i="24" s="1" a="1"/>
  <c r="I4" i="24" s="1"/>
  <c r="J7" i="24"/>
  <c r="J8" i="24" s="1" a="1"/>
  <c r="J8" i="24" s="1"/>
  <c r="H3" i="24"/>
  <c r="H4" i="24" s="1" a="1"/>
  <c r="H4" i="24" s="1"/>
  <c r="G3" i="24"/>
  <c r="G4" i="24" s="1" a="1"/>
  <c r="G4" i="24" s="1"/>
  <c r="D7" i="24"/>
  <c r="E3" i="24"/>
  <c r="E4" i="24" s="1" a="1"/>
  <c r="E4" i="24" s="1"/>
  <c r="E9" i="24"/>
  <c r="E10" i="24" s="1" a="1"/>
  <c r="E10" i="24" s="1"/>
  <c r="D5" i="24"/>
  <c r="D9" i="24"/>
  <c r="J9" i="24"/>
  <c r="J10" i="24" s="1" a="1"/>
  <c r="J10" i="24" s="1"/>
  <c r="I5" i="24"/>
  <c r="I6" i="24" s="1" a="1"/>
  <c r="I6" i="24" s="1"/>
  <c r="E7" i="24"/>
  <c r="E8" i="24" s="1" a="1"/>
  <c r="E8" i="24" s="1"/>
  <c r="H9" i="24"/>
  <c r="H10" i="24" s="1" a="1"/>
  <c r="H10" i="24" s="1"/>
  <c r="E5" i="24"/>
  <c r="E6" i="24" s="1" a="1"/>
  <c r="E6" i="24" s="1"/>
  <c r="J11" i="24"/>
  <c r="F11" i="24"/>
  <c r="F12" i="24" s="1" a="1"/>
  <c r="F12" i="24" s="1"/>
  <c r="I11" i="24"/>
  <c r="E11" i="24"/>
  <c r="E12" i="24" s="1" a="1"/>
  <c r="E12" i="24" s="1"/>
  <c r="H11" i="24"/>
  <c r="D11" i="24"/>
  <c r="G11" i="24"/>
  <c r="G12" i="24" s="1" a="1"/>
  <c r="G12" i="24" s="1"/>
  <c r="G5" i="24"/>
  <c r="G6" i="24" s="1" a="1"/>
  <c r="G6" i="24" s="1"/>
  <c r="G9" i="24"/>
  <c r="G10" i="24" s="1" a="1"/>
  <c r="G10" i="24" s="1"/>
  <c r="F9" i="24"/>
  <c r="F10" i="24" s="1" a="1"/>
  <c r="F10" i="24" s="1"/>
  <c r="F5" i="24"/>
  <c r="F6" i="24" s="1" a="1"/>
  <c r="F6" i="24" s="1"/>
  <c r="H5" i="24"/>
  <c r="H6" i="24" s="1" a="1"/>
  <c r="H6" i="24" s="1"/>
  <c r="F13" i="21"/>
  <c r="H13" i="21"/>
  <c r="I7" i="21"/>
  <c r="I8" i="21" s="1" a="1"/>
  <c r="I8" i="21" s="1"/>
  <c r="J13" i="21"/>
  <c r="F9" i="21"/>
  <c r="F10" i="21" s="1" a="1"/>
  <c r="F10" i="21" s="1"/>
  <c r="J7" i="21"/>
  <c r="J8" i="21" s="1" a="1"/>
  <c r="J8" i="21" s="1"/>
  <c r="J9" i="21"/>
  <c r="J10" i="21" s="1" a="1"/>
  <c r="J10" i="21" s="1"/>
  <c r="G7" i="21"/>
  <c r="G8" i="21" s="1" a="1"/>
  <c r="G8" i="21" s="1"/>
  <c r="J11" i="21"/>
  <c r="J12" i="21" s="1" a="1"/>
  <c r="J12" i="21" s="1"/>
  <c r="H9" i="21"/>
  <c r="H10" i="21" s="1" a="1"/>
  <c r="H10" i="21" s="1"/>
  <c r="G11" i="21"/>
  <c r="G12" i="21" s="1" a="1"/>
  <c r="G12" i="21" s="1"/>
  <c r="I11" i="21"/>
  <c r="I12" i="21" s="1" a="1"/>
  <c r="I12" i="21" s="1"/>
  <c r="D7" i="21"/>
  <c r="G13" i="21"/>
  <c r="I13" i="21"/>
  <c r="D9" i="21"/>
  <c r="F7" i="21"/>
  <c r="F8" i="21" s="1" a="1"/>
  <c r="F8" i="21" s="1"/>
  <c r="H7" i="21"/>
  <c r="H8" i="21" s="1" a="1"/>
  <c r="H8" i="21" s="1"/>
  <c r="D11" i="21"/>
  <c r="D13" i="21"/>
  <c r="D14" i="21" s="1" a="1"/>
  <c r="D14" i="21" s="1"/>
  <c r="F11" i="21"/>
  <c r="F12" i="21" s="1" a="1"/>
  <c r="F12" i="21" s="1"/>
  <c r="H11" i="21"/>
  <c r="H12" i="21" s="1" a="1"/>
  <c r="H12" i="21" s="1"/>
  <c r="G9" i="21"/>
  <c r="G10" i="21" s="1" a="1"/>
  <c r="G10" i="21" s="1"/>
  <c r="I9" i="21"/>
  <c r="I10" i="21" s="1" a="1"/>
  <c r="I10" i="21" s="1"/>
  <c r="E5" i="21"/>
  <c r="E6" i="21" s="1" a="1"/>
  <c r="E6" i="21" s="1"/>
  <c r="F5" i="21"/>
  <c r="F6" i="21" s="1" a="1"/>
  <c r="F6" i="21" s="1"/>
  <c r="G5" i="21"/>
  <c r="G6" i="21" s="1" a="1"/>
  <c r="G6" i="21" s="1"/>
  <c r="H5" i="21"/>
  <c r="H6" i="21" s="1" a="1"/>
  <c r="H6" i="21" s="1"/>
  <c r="I5" i="21"/>
  <c r="I6" i="21" s="1" a="1"/>
  <c r="I6" i="21" s="1"/>
  <c r="J5" i="21"/>
  <c r="J6" i="21" s="1" a="1"/>
  <c r="J6" i="21" s="1"/>
  <c r="D5" i="21"/>
  <c r="E3" i="21"/>
  <c r="E4" i="21" s="1" a="1"/>
  <c r="E4" i="21" s="1"/>
  <c r="F3" i="21"/>
  <c r="F4" i="21" s="1" a="1"/>
  <c r="F4" i="21" s="1"/>
  <c r="G3" i="21"/>
  <c r="G4" i="21" s="1" a="1"/>
  <c r="G4" i="21" s="1"/>
  <c r="H3" i="21"/>
  <c r="H4" i="21" s="1" a="1"/>
  <c r="H4" i="21" s="1"/>
  <c r="I3" i="21"/>
  <c r="I4" i="21" s="1" a="1"/>
  <c r="I4" i="21" s="1"/>
  <c r="J3" i="21"/>
  <c r="J4" i="21" s="1" a="1"/>
  <c r="J4" i="21" s="1"/>
  <c r="D3" i="21"/>
  <c r="I5" i="20"/>
  <c r="I6" i="20" s="1" a="1"/>
  <c r="I6" i="20" s="1"/>
  <c r="J5" i="20"/>
  <c r="J6" i="20" s="1" a="1"/>
  <c r="J6" i="20" s="1"/>
  <c r="D5" i="20"/>
  <c r="E5" i="20"/>
  <c r="E6" i="20" s="1" a="1"/>
  <c r="E6" i="20" s="1"/>
  <c r="F5" i="20"/>
  <c r="F6" i="20" s="1" a="1"/>
  <c r="F6" i="20" s="1"/>
  <c r="G5" i="20"/>
  <c r="G6" i="20" s="1" a="1"/>
  <c r="G6" i="20" s="1"/>
  <c r="H5" i="20"/>
  <c r="H6" i="20" s="1" a="1"/>
  <c r="H6" i="20" s="1"/>
  <c r="I7" i="20"/>
  <c r="I8" i="20" s="1" a="1"/>
  <c r="I8" i="20" s="1"/>
  <c r="J7" i="20"/>
  <c r="J8" i="20" s="1" a="1"/>
  <c r="J8" i="20" s="1"/>
  <c r="D7" i="20"/>
  <c r="E7" i="20"/>
  <c r="E8" i="20" s="1" a="1"/>
  <c r="E8" i="20" s="1"/>
  <c r="F7" i="20"/>
  <c r="F8" i="20" s="1" a="1"/>
  <c r="F8" i="20" s="1"/>
  <c r="G7" i="20"/>
  <c r="G8" i="20" s="1" a="1"/>
  <c r="G8" i="20" s="1"/>
  <c r="H7" i="20"/>
  <c r="H8" i="20" s="1" a="1"/>
  <c r="H8" i="20" s="1"/>
  <c r="I11" i="20"/>
  <c r="I12" i="20" s="1" a="1"/>
  <c r="I12" i="20" s="1"/>
  <c r="J11" i="20"/>
  <c r="J12" i="20" s="1" a="1"/>
  <c r="J12" i="20" s="1"/>
  <c r="D11" i="20"/>
  <c r="E11" i="20"/>
  <c r="E12" i="20" s="1" a="1"/>
  <c r="E12" i="20" s="1"/>
  <c r="F11" i="20"/>
  <c r="F12" i="20" s="1" a="1"/>
  <c r="F12" i="20" s="1"/>
  <c r="G11" i="20"/>
  <c r="G12" i="20" s="1" a="1"/>
  <c r="G12" i="20" s="1"/>
  <c r="H11" i="20"/>
  <c r="H12" i="20" s="1" a="1"/>
  <c r="H12" i="20" s="1"/>
  <c r="I3" i="20"/>
  <c r="I4" i="20" s="1" a="1"/>
  <c r="I4" i="20" s="1"/>
  <c r="J3" i="20"/>
  <c r="J4" i="20" s="1" a="1"/>
  <c r="J4" i="20" s="1"/>
  <c r="D3" i="20"/>
  <c r="E3" i="20"/>
  <c r="E2" i="20" s="1"/>
  <c r="F3" i="20"/>
  <c r="F2" i="20" s="1"/>
  <c r="G3" i="20"/>
  <c r="G2" i="20" s="1"/>
  <c r="H3" i="20"/>
  <c r="H2" i="20" s="1"/>
  <c r="I9" i="20"/>
  <c r="I10" i="20" s="1" a="1"/>
  <c r="I10" i="20" s="1"/>
  <c r="J9" i="20"/>
  <c r="J10" i="20" s="1" a="1"/>
  <c r="J10" i="20" s="1"/>
  <c r="D9" i="20"/>
  <c r="E9" i="20"/>
  <c r="E10" i="20" s="1" a="1"/>
  <c r="E10" i="20" s="1"/>
  <c r="F9" i="20"/>
  <c r="F10" i="20" s="1" a="1"/>
  <c r="F10" i="20" s="1"/>
  <c r="G9" i="20"/>
  <c r="G10" i="20" s="1" a="1"/>
  <c r="G10" i="20" s="1"/>
  <c r="H9" i="20"/>
  <c r="H10" i="20" s="1" a="1"/>
  <c r="H10" i="20" s="1"/>
  <c r="I13" i="20"/>
  <c r="J13" i="20"/>
  <c r="D13" i="20"/>
  <c r="D14" i="20" s="1" a="1"/>
  <c r="D14" i="20" s="1"/>
  <c r="E13" i="20"/>
  <c r="F13" i="20"/>
  <c r="G13" i="20"/>
  <c r="H13" i="20"/>
  <c r="E11" i="16"/>
  <c r="E12" i="16" s="1" a="1"/>
  <c r="E12" i="16" s="1"/>
  <c r="E13" i="16"/>
  <c r="E14" i="16" s="1" a="1"/>
  <c r="E14" i="16" s="1"/>
  <c r="H13" i="16"/>
  <c r="I11" i="16"/>
  <c r="I12" i="16" s="1" a="1"/>
  <c r="I12" i="16" s="1"/>
  <c r="J13" i="15"/>
  <c r="I13" i="16"/>
  <c r="F11" i="17"/>
  <c r="F12" i="17" s="1" a="1"/>
  <c r="F12" i="17" s="1"/>
  <c r="G11" i="17"/>
  <c r="G12" i="17" s="1" a="1"/>
  <c r="G12" i="17" s="1"/>
  <c r="H11" i="17"/>
  <c r="H12" i="17" s="1" a="1"/>
  <c r="H12" i="17" s="1"/>
  <c r="I11" i="17"/>
  <c r="I12" i="17" s="1" a="1"/>
  <c r="I12" i="17" s="1"/>
  <c r="J11" i="17"/>
  <c r="J12" i="17" s="1" a="1"/>
  <c r="J12" i="17" s="1"/>
  <c r="D11" i="17"/>
  <c r="D12" i="17" s="1" a="1"/>
  <c r="D12" i="17" s="1"/>
  <c r="E11" i="17"/>
  <c r="E12" i="17" s="1" a="1"/>
  <c r="E12" i="17" s="1"/>
  <c r="F5" i="17"/>
  <c r="F6" i="17" s="1" a="1"/>
  <c r="F6" i="17" s="1"/>
  <c r="G5" i="17"/>
  <c r="G6" i="17" s="1" a="1"/>
  <c r="G6" i="17" s="1"/>
  <c r="H5" i="17"/>
  <c r="H6" i="17" s="1" a="1"/>
  <c r="H6" i="17" s="1"/>
  <c r="I5" i="17"/>
  <c r="I6" i="17" s="1" a="1"/>
  <c r="I6" i="17" s="1"/>
  <c r="D5" i="17"/>
  <c r="J5" i="17"/>
  <c r="J6" i="17" s="1" a="1"/>
  <c r="J6" i="17" s="1"/>
  <c r="E5" i="17"/>
  <c r="E6" i="17" s="1" a="1"/>
  <c r="E6" i="17" s="1"/>
  <c r="F13" i="15"/>
  <c r="H11" i="15"/>
  <c r="E9" i="17"/>
  <c r="E10" i="17" s="1" a="1"/>
  <c r="E10" i="17" s="1"/>
  <c r="F9" i="17"/>
  <c r="F10" i="17" s="1" a="1"/>
  <c r="F10" i="17" s="1"/>
  <c r="G9" i="17"/>
  <c r="G10" i="17" s="1" a="1"/>
  <c r="G10" i="17" s="1"/>
  <c r="H9" i="17"/>
  <c r="H10" i="17" s="1" a="1"/>
  <c r="H10" i="17" s="1"/>
  <c r="I9" i="17"/>
  <c r="I10" i="17" s="1" a="1"/>
  <c r="I10" i="17" s="1"/>
  <c r="J9" i="17"/>
  <c r="J10" i="17" s="1" a="1"/>
  <c r="J10" i="17" s="1"/>
  <c r="D9" i="17"/>
  <c r="H13" i="15"/>
  <c r="F7" i="17"/>
  <c r="F8" i="17" s="1" a="1"/>
  <c r="F8" i="17" s="1"/>
  <c r="G7" i="17"/>
  <c r="G8" i="17" s="1" a="1"/>
  <c r="G8" i="17" s="1"/>
  <c r="H7" i="17"/>
  <c r="H8" i="17" s="1" a="1"/>
  <c r="H8" i="17" s="1"/>
  <c r="I7" i="17"/>
  <c r="I8" i="17" s="1" a="1"/>
  <c r="I8" i="17" s="1"/>
  <c r="J7" i="17"/>
  <c r="J8" i="17" s="1" a="1"/>
  <c r="J8" i="17" s="1"/>
  <c r="D7" i="17"/>
  <c r="E7" i="17"/>
  <c r="E8" i="17" s="1" a="1"/>
  <c r="E8" i="17" s="1"/>
  <c r="F3" i="17"/>
  <c r="F2" i="17" s="1"/>
  <c r="G3" i="17"/>
  <c r="G2" i="17" s="1"/>
  <c r="H3" i="17"/>
  <c r="H4" i="17" s="1" a="1"/>
  <c r="H4" i="17" s="1"/>
  <c r="I3" i="17"/>
  <c r="I4" i="17" s="1" a="1"/>
  <c r="I4" i="17" s="1"/>
  <c r="J3" i="17"/>
  <c r="J4" i="17" s="1" a="1"/>
  <c r="J4" i="17" s="1"/>
  <c r="D3" i="17"/>
  <c r="E3" i="17"/>
  <c r="E2" i="17" s="1"/>
  <c r="G7" i="15"/>
  <c r="G8" i="15" s="1" a="1"/>
  <c r="G8" i="15" s="1"/>
  <c r="E11" i="15"/>
  <c r="E12" i="15" s="1" a="1"/>
  <c r="E12" i="15" s="1"/>
  <c r="G11" i="15"/>
  <c r="G12" i="15" s="1" a="1"/>
  <c r="G12" i="15" s="1"/>
  <c r="I9" i="15"/>
  <c r="I10" i="15" s="1" a="1"/>
  <c r="I10" i="15" s="1"/>
  <c r="E13" i="15"/>
  <c r="G13" i="15"/>
  <c r="I11" i="15"/>
  <c r="F7" i="15"/>
  <c r="F8" i="15" s="1" a="1"/>
  <c r="F8" i="15" s="1"/>
  <c r="I13" i="15"/>
  <c r="E7" i="15"/>
  <c r="E8" i="15" s="1" a="1"/>
  <c r="E8" i="15" s="1"/>
  <c r="J9" i="15"/>
  <c r="J10" i="15" s="1" a="1"/>
  <c r="J10" i="15" s="1"/>
  <c r="F9" i="15"/>
  <c r="F10" i="15" s="1" a="1"/>
  <c r="F10" i="15" s="1"/>
  <c r="H7" i="15"/>
  <c r="H8" i="15" s="1" a="1"/>
  <c r="H8" i="15" s="1"/>
  <c r="J11" i="15"/>
  <c r="F11" i="15"/>
  <c r="F12" i="15" s="1" a="1"/>
  <c r="F12" i="15" s="1"/>
  <c r="H9" i="15"/>
  <c r="H10" i="15" s="1" a="1"/>
  <c r="H10" i="15" s="1"/>
  <c r="J7" i="15"/>
  <c r="J8" i="15" s="1" a="1"/>
  <c r="J8" i="15" s="1"/>
  <c r="E9" i="15"/>
  <c r="E10" i="15" s="1" a="1"/>
  <c r="E10" i="15" s="1"/>
  <c r="G9" i="15"/>
  <c r="G10" i="15" s="1" a="1"/>
  <c r="G10" i="15" s="1"/>
  <c r="I7" i="15"/>
  <c r="I8" i="15" s="1" a="1"/>
  <c r="I8" i="15" s="1"/>
  <c r="G9" i="16"/>
  <c r="G10" i="16" s="1" a="1"/>
  <c r="G10" i="16" s="1"/>
  <c r="J11" i="16"/>
  <c r="J12" i="16" s="1" a="1"/>
  <c r="J12" i="16" s="1"/>
  <c r="G11" i="16"/>
  <c r="G12" i="16" s="1" a="1"/>
  <c r="G12" i="16" s="1"/>
  <c r="J13" i="16"/>
  <c r="G13" i="16"/>
  <c r="E9" i="16"/>
  <c r="E10" i="16" s="1" a="1"/>
  <c r="E10" i="16" s="1"/>
  <c r="I9" i="16"/>
  <c r="I10" i="16" s="1" a="1"/>
  <c r="I10" i="16" s="1"/>
  <c r="D5" i="15"/>
  <c r="D6" i="15" s="1" a="1"/>
  <c r="D6" i="15" s="1"/>
  <c r="J5" i="15"/>
  <c r="J6" i="15" s="1" a="1"/>
  <c r="J6" i="15" s="1"/>
  <c r="E5" i="15"/>
  <c r="E6" i="15" s="1" a="1"/>
  <c r="E6" i="15" s="1"/>
  <c r="F5" i="15"/>
  <c r="F6" i="15" s="1" a="1"/>
  <c r="F6" i="15" s="1"/>
  <c r="G5" i="15"/>
  <c r="G6" i="15" s="1" a="1"/>
  <c r="G6" i="15" s="1"/>
  <c r="H5" i="15"/>
  <c r="H6" i="15" s="1" a="1"/>
  <c r="H6" i="15" s="1"/>
  <c r="I5" i="15"/>
  <c r="I6" i="15" s="1" a="1"/>
  <c r="I6" i="15" s="1"/>
  <c r="F13" i="16"/>
  <c r="D3" i="15"/>
  <c r="J3" i="15"/>
  <c r="J4" i="15" s="1" a="1"/>
  <c r="J4" i="15" s="1"/>
  <c r="E3" i="15"/>
  <c r="E2" i="15" s="1"/>
  <c r="F3" i="15"/>
  <c r="F4" i="15" s="1" a="1"/>
  <c r="F4" i="15" s="1"/>
  <c r="G3" i="15"/>
  <c r="G4" i="15" s="1" a="1"/>
  <c r="G4" i="15" s="1"/>
  <c r="H3" i="15"/>
  <c r="H4" i="15" s="1" a="1"/>
  <c r="H4" i="15" s="1"/>
  <c r="I3" i="15"/>
  <c r="I4" i="15" s="1" a="1"/>
  <c r="I4" i="15" s="1"/>
  <c r="F7" i="16"/>
  <c r="F8" i="16" s="1" a="1"/>
  <c r="F8" i="16" s="1"/>
  <c r="H7" i="16"/>
  <c r="H8" i="16" s="1" a="1"/>
  <c r="H8" i="16" s="1"/>
  <c r="F9" i="16"/>
  <c r="F10" i="16" s="1" a="1"/>
  <c r="F10" i="16" s="1"/>
  <c r="H9" i="16"/>
  <c r="H10" i="16" s="1" a="1"/>
  <c r="H10" i="16" s="1"/>
  <c r="J7" i="16"/>
  <c r="J8" i="16" s="1" a="1"/>
  <c r="J8" i="16" s="1"/>
  <c r="F11" i="16"/>
  <c r="F12" i="16" s="1" a="1"/>
  <c r="F12" i="16" s="1"/>
  <c r="H11" i="16"/>
  <c r="H12" i="16" s="1" a="1"/>
  <c r="H12" i="16" s="1"/>
  <c r="J9" i="16"/>
  <c r="J10" i="16" s="1" a="1"/>
  <c r="J10" i="16" s="1"/>
  <c r="E7" i="16"/>
  <c r="E8" i="16" s="1" a="1"/>
  <c r="E8" i="16" s="1"/>
  <c r="G7" i="16"/>
  <c r="G8" i="16" s="1" a="1"/>
  <c r="G8" i="16" s="1"/>
  <c r="I7" i="16"/>
  <c r="I8" i="16" s="1" a="1"/>
  <c r="I8" i="16" s="1"/>
  <c r="D3" i="16"/>
  <c r="D2" i="16" s="1"/>
  <c r="E3" i="16"/>
  <c r="E2" i="16" s="1"/>
  <c r="F3" i="16"/>
  <c r="F2" i="16" s="1"/>
  <c r="G3" i="16"/>
  <c r="G2" i="16" s="1"/>
  <c r="H3" i="16"/>
  <c r="H2" i="16" s="1"/>
  <c r="I3" i="16"/>
  <c r="I2" i="16" s="1"/>
  <c r="J3" i="16"/>
  <c r="J2" i="16" s="1"/>
  <c r="D5" i="16"/>
  <c r="E5" i="16"/>
  <c r="E6" i="16" s="1" a="1"/>
  <c r="E6" i="16" s="1"/>
  <c r="F5" i="16"/>
  <c r="F6" i="16" s="1" a="1"/>
  <c r="F6" i="16" s="1"/>
  <c r="G5" i="16"/>
  <c r="G6" i="16" s="1" a="1"/>
  <c r="G6" i="16" s="1"/>
  <c r="H5" i="16"/>
  <c r="H6" i="16" s="1" a="1"/>
  <c r="H6" i="16" s="1"/>
  <c r="I5" i="16"/>
  <c r="I6" i="16" s="1" a="1"/>
  <c r="I6" i="16" s="1"/>
  <c r="J5" i="16"/>
  <c r="J6" i="16" s="1" a="1"/>
  <c r="J6" i="16" s="1"/>
  <c r="I7" i="14"/>
  <c r="I8" i="14" s="1" a="1"/>
  <c r="I8" i="14" s="1"/>
  <c r="J7" i="14"/>
  <c r="J8" i="14" s="1" a="1"/>
  <c r="J8" i="14" s="1"/>
  <c r="D7" i="14"/>
  <c r="E7" i="14"/>
  <c r="E8" i="14" s="1" a="1"/>
  <c r="E8" i="14" s="1"/>
  <c r="F7" i="14"/>
  <c r="F8" i="14" s="1" a="1"/>
  <c r="F8" i="14" s="1"/>
  <c r="G7" i="14"/>
  <c r="G8" i="14" s="1" a="1"/>
  <c r="G8" i="14" s="1"/>
  <c r="H7" i="14"/>
  <c r="H8" i="14" s="1" a="1"/>
  <c r="H8" i="14" s="1"/>
  <c r="J9" i="14"/>
  <c r="J10" i="14" s="1" a="1"/>
  <c r="J10" i="14" s="1"/>
  <c r="D9" i="14"/>
  <c r="E9" i="14"/>
  <c r="E10" i="14" s="1" a="1"/>
  <c r="E10" i="14" s="1"/>
  <c r="F9" i="14"/>
  <c r="F10" i="14" s="1" a="1"/>
  <c r="F10" i="14" s="1"/>
  <c r="G9" i="14"/>
  <c r="G10" i="14" s="1" a="1"/>
  <c r="G10" i="14" s="1"/>
  <c r="H9" i="14"/>
  <c r="H10" i="14" s="1" a="1"/>
  <c r="H10" i="14" s="1"/>
  <c r="I9" i="14"/>
  <c r="I10" i="14" s="1" a="1"/>
  <c r="I10" i="14" s="1"/>
  <c r="J11" i="14"/>
  <c r="D11" i="14"/>
  <c r="D12" i="14" s="1" a="1"/>
  <c r="D12" i="14" s="1"/>
  <c r="E11" i="14"/>
  <c r="E12" i="14" s="1" a="1"/>
  <c r="E12" i="14" s="1"/>
  <c r="F11" i="14"/>
  <c r="F12" i="14" s="1" a="1"/>
  <c r="F12" i="14" s="1"/>
  <c r="G11" i="14"/>
  <c r="G12" i="14" s="1" a="1"/>
  <c r="G12" i="14" s="1"/>
  <c r="H11" i="14"/>
  <c r="H12" i="14" s="1" a="1"/>
  <c r="H12" i="14" s="1"/>
  <c r="I11" i="14"/>
  <c r="I12" i="14" s="1" a="1"/>
  <c r="I12" i="14" s="1"/>
  <c r="I13" i="14"/>
  <c r="H13" i="14"/>
  <c r="J13" i="14"/>
  <c r="D13" i="14"/>
  <c r="E13" i="14"/>
  <c r="F13" i="14"/>
  <c r="G13" i="14"/>
  <c r="H3" i="14"/>
  <c r="H2" i="14" s="1"/>
  <c r="I3" i="14"/>
  <c r="I2" i="14" s="1"/>
  <c r="J3" i="14"/>
  <c r="J2" i="14" s="1"/>
  <c r="D3" i="14"/>
  <c r="D2" i="14" s="1"/>
  <c r="E3" i="14"/>
  <c r="E2" i="14" s="1"/>
  <c r="F3" i="14"/>
  <c r="F2" i="14" s="1"/>
  <c r="G3" i="14"/>
  <c r="G2" i="14" s="1"/>
  <c r="J5" i="14"/>
  <c r="J6" i="14" s="1" a="1"/>
  <c r="J6" i="14" s="1"/>
  <c r="D5" i="14"/>
  <c r="E5" i="14"/>
  <c r="E6" i="14" s="1" a="1"/>
  <c r="E6" i="14" s="1"/>
  <c r="F5" i="14"/>
  <c r="F6" i="14" s="1" a="1"/>
  <c r="F6" i="14" s="1"/>
  <c r="G5" i="14"/>
  <c r="G6" i="14" s="1" a="1"/>
  <c r="G6" i="14" s="1"/>
  <c r="H5" i="14"/>
  <c r="H6" i="14" s="1" a="1"/>
  <c r="H6" i="14" s="1"/>
  <c r="I5" i="14"/>
  <c r="I6" i="14" s="1" a="1"/>
  <c r="I6" i="14" s="1"/>
  <c r="E7" i="25"/>
  <c r="E8" i="25" s="1" a="1"/>
  <c r="E8" i="25" s="1"/>
  <c r="F7" i="25"/>
  <c r="F8" i="25" s="1" a="1"/>
  <c r="F8" i="25" s="1"/>
  <c r="G7" i="25"/>
  <c r="G8" i="25" s="1" a="1"/>
  <c r="G8" i="25" s="1"/>
  <c r="H7" i="25"/>
  <c r="H8" i="25" s="1" a="1"/>
  <c r="H8" i="25" s="1"/>
  <c r="D7" i="25"/>
  <c r="I7" i="25"/>
  <c r="I8" i="25" s="1" a="1"/>
  <c r="I8" i="25" s="1"/>
  <c r="J7" i="25"/>
  <c r="J8" i="25" s="1" a="1"/>
  <c r="J8" i="25" s="1"/>
  <c r="E11" i="25"/>
  <c r="E12" i="25" s="1" a="1"/>
  <c r="E12" i="25" s="1"/>
  <c r="F11" i="25"/>
  <c r="F12" i="25" s="1" a="1"/>
  <c r="F12" i="25" s="1"/>
  <c r="G11" i="25"/>
  <c r="G12" i="25" s="1" a="1"/>
  <c r="G12" i="25" s="1"/>
  <c r="J11" i="25"/>
  <c r="H11" i="25"/>
  <c r="H12" i="25" s="1" a="1"/>
  <c r="H12" i="25" s="1"/>
  <c r="D11" i="25"/>
  <c r="D12" i="25" s="1" a="1"/>
  <c r="D12" i="25" s="1"/>
  <c r="I11" i="25"/>
  <c r="I12" i="25" s="1" a="1"/>
  <c r="I12" i="25" s="1"/>
  <c r="E5" i="25"/>
  <c r="E6" i="25" s="1" a="1"/>
  <c r="E6" i="25" s="1"/>
  <c r="F5" i="25"/>
  <c r="F6" i="25" s="1" a="1"/>
  <c r="F6" i="25" s="1"/>
  <c r="G5" i="25"/>
  <c r="G6" i="25" s="1" a="1"/>
  <c r="G6" i="25" s="1"/>
  <c r="H5" i="25"/>
  <c r="H6" i="25" s="1" a="1"/>
  <c r="H6" i="25" s="1"/>
  <c r="J5" i="25"/>
  <c r="J6" i="25" s="1" a="1"/>
  <c r="J6" i="25" s="1"/>
  <c r="I5" i="25"/>
  <c r="I6" i="25" s="1" a="1"/>
  <c r="I6" i="25" s="1"/>
  <c r="D5" i="25"/>
  <c r="D6" i="25" s="1" a="1"/>
  <c r="D6" i="25" s="1"/>
  <c r="E9" i="25"/>
  <c r="E10" i="25" s="1" a="1"/>
  <c r="E10" i="25" s="1"/>
  <c r="F9" i="25"/>
  <c r="F10" i="25" s="1" a="1"/>
  <c r="F10" i="25" s="1"/>
  <c r="G9" i="25"/>
  <c r="G10" i="25" s="1" a="1"/>
  <c r="G10" i="25" s="1"/>
  <c r="D9" i="25"/>
  <c r="H9" i="25"/>
  <c r="H10" i="25" s="1" a="1"/>
  <c r="H10" i="25" s="1"/>
  <c r="J9" i="25"/>
  <c r="J10" i="25" s="1" a="1"/>
  <c r="J10" i="25" s="1"/>
  <c r="I9" i="25"/>
  <c r="I10" i="25" s="1" a="1"/>
  <c r="I10" i="25" s="1"/>
  <c r="E3" i="25"/>
  <c r="F3" i="25"/>
  <c r="G3" i="25"/>
  <c r="J3" i="25"/>
  <c r="H3" i="25"/>
  <c r="D3" i="25"/>
  <c r="I3" i="25"/>
  <c r="E13" i="25"/>
  <c r="F13" i="25"/>
  <c r="G13" i="25"/>
  <c r="H13" i="25"/>
  <c r="I13" i="25"/>
  <c r="J13" i="25"/>
  <c r="D13" i="25"/>
  <c r="J7" i="22"/>
  <c r="J8" i="22" s="1" a="1"/>
  <c r="J8" i="22" s="1"/>
  <c r="H7" i="22"/>
  <c r="H8" i="22" s="1" a="1"/>
  <c r="H8" i="22" s="1"/>
  <c r="I7" i="22"/>
  <c r="I8" i="22" s="1" a="1"/>
  <c r="I8" i="22" s="1"/>
  <c r="G7" i="22"/>
  <c r="G8" i="22" s="1" a="1"/>
  <c r="G8" i="22" s="1"/>
  <c r="F7" i="22"/>
  <c r="F8" i="22" s="1" a="1"/>
  <c r="F8" i="22" s="1"/>
  <c r="E7" i="22"/>
  <c r="E8" i="22" s="1" a="1"/>
  <c r="E8" i="22" s="1"/>
  <c r="D7" i="22"/>
  <c r="J11" i="23"/>
  <c r="J12" i="23" s="1" a="1"/>
  <c r="J12" i="23" s="1"/>
  <c r="H11" i="23"/>
  <c r="H12" i="23" s="1" a="1"/>
  <c r="H12" i="23" s="1"/>
  <c r="I11" i="23"/>
  <c r="I12" i="23" s="1" a="1"/>
  <c r="I12" i="23" s="1"/>
  <c r="G11" i="23"/>
  <c r="G12" i="23" s="1" a="1"/>
  <c r="G12" i="23" s="1"/>
  <c r="F11" i="23"/>
  <c r="F12" i="23" s="1" a="1"/>
  <c r="F12" i="23" s="1"/>
  <c r="E11" i="23"/>
  <c r="E12" i="23" s="1" a="1"/>
  <c r="E12" i="23" s="1"/>
  <c r="D11" i="23"/>
  <c r="J9" i="22"/>
  <c r="J10" i="22" s="1" a="1"/>
  <c r="J10" i="22" s="1"/>
  <c r="I9" i="22"/>
  <c r="I10" i="22" s="1" a="1"/>
  <c r="I10" i="22" s="1"/>
  <c r="H9" i="22"/>
  <c r="H10" i="22" s="1" a="1"/>
  <c r="H10" i="22" s="1"/>
  <c r="G9" i="22"/>
  <c r="G10" i="22" s="1" a="1"/>
  <c r="G10" i="22" s="1"/>
  <c r="F9" i="22"/>
  <c r="F10" i="22" s="1" a="1"/>
  <c r="F10" i="22" s="1"/>
  <c r="E9" i="22"/>
  <c r="E10" i="22" s="1" a="1"/>
  <c r="E10" i="22" s="1"/>
  <c r="D9" i="22"/>
  <c r="J13" i="23"/>
  <c r="I13" i="23"/>
  <c r="H13" i="23"/>
  <c r="G13" i="23"/>
  <c r="F13" i="23"/>
  <c r="E13" i="23"/>
  <c r="D13" i="23"/>
  <c r="D14" i="23" s="1" a="1"/>
  <c r="D14" i="23" s="1"/>
  <c r="J2" i="19"/>
  <c r="I2" i="19"/>
  <c r="G2" i="19"/>
  <c r="F2" i="19"/>
  <c r="E2" i="19"/>
  <c r="D2" i="19"/>
  <c r="J11" i="22"/>
  <c r="H11" i="22"/>
  <c r="H12" i="22" s="1" a="1"/>
  <c r="H12" i="22" s="1"/>
  <c r="I11" i="22"/>
  <c r="I12" i="22" s="1" a="1"/>
  <c r="I12" i="22" s="1"/>
  <c r="G11" i="22"/>
  <c r="G12" i="22" s="1" a="1"/>
  <c r="G12" i="22" s="1"/>
  <c r="F11" i="22"/>
  <c r="F12" i="22" s="1" a="1"/>
  <c r="F12" i="22" s="1"/>
  <c r="E11" i="22"/>
  <c r="E12" i="22" s="1" a="1"/>
  <c r="E12" i="22" s="1"/>
  <c r="D11" i="22"/>
  <c r="D12" i="22" s="1" a="1"/>
  <c r="D12" i="22" s="1"/>
  <c r="J2" i="24"/>
  <c r="H2" i="19"/>
  <c r="J13" i="22"/>
  <c r="I13" i="22"/>
  <c r="H13" i="22"/>
  <c r="G13" i="22"/>
  <c r="F13" i="22"/>
  <c r="E13" i="22"/>
  <c r="D13" i="22"/>
  <c r="J3" i="23"/>
  <c r="H3" i="23"/>
  <c r="H2" i="23" s="1"/>
  <c r="I3" i="23"/>
  <c r="I2" i="23" s="1"/>
  <c r="G3" i="23"/>
  <c r="G2" i="23" s="1"/>
  <c r="F3" i="23"/>
  <c r="F2" i="23" s="1"/>
  <c r="E3" i="23"/>
  <c r="E2" i="23" s="1"/>
  <c r="D3" i="23"/>
  <c r="J5" i="23"/>
  <c r="J6" i="23" s="1" a="1"/>
  <c r="J6" i="23" s="1"/>
  <c r="I5" i="23"/>
  <c r="I6" i="23" s="1" a="1"/>
  <c r="I6" i="23" s="1"/>
  <c r="H5" i="23"/>
  <c r="H6" i="23" s="1" a="1"/>
  <c r="H6" i="23" s="1"/>
  <c r="G5" i="23"/>
  <c r="G6" i="23" s="1" a="1"/>
  <c r="G6" i="23" s="1"/>
  <c r="F5" i="23"/>
  <c r="F6" i="23" s="1" a="1"/>
  <c r="F6" i="23" s="1"/>
  <c r="E5" i="23"/>
  <c r="D5" i="23"/>
  <c r="J2" i="18"/>
  <c r="I2" i="18"/>
  <c r="G2" i="18"/>
  <c r="F2" i="18"/>
  <c r="E2" i="18"/>
  <c r="D2" i="18"/>
  <c r="J3" i="22"/>
  <c r="J4" i="22" s="1" a="1"/>
  <c r="J4" i="22" s="1"/>
  <c r="H3" i="22"/>
  <c r="H4" i="22" s="1" a="1"/>
  <c r="H4" i="22" s="1"/>
  <c r="I3" i="22"/>
  <c r="I4" i="22" s="1" a="1"/>
  <c r="I4" i="22" s="1"/>
  <c r="G3" i="22"/>
  <c r="G4" i="22" s="1" a="1"/>
  <c r="G4" i="22" s="1"/>
  <c r="F3" i="22"/>
  <c r="F2" i="22" s="1"/>
  <c r="E3" i="22"/>
  <c r="E2" i="22" s="1"/>
  <c r="D3" i="22"/>
  <c r="J7" i="23"/>
  <c r="J8" i="23" s="1" a="1"/>
  <c r="J8" i="23" s="1"/>
  <c r="H7" i="23"/>
  <c r="H8" i="23" s="1" a="1"/>
  <c r="H8" i="23" s="1"/>
  <c r="I7" i="23"/>
  <c r="I8" i="23" s="1" a="1"/>
  <c r="I8" i="23" s="1"/>
  <c r="G7" i="23"/>
  <c r="G8" i="23" s="1" a="1"/>
  <c r="G8" i="23" s="1"/>
  <c r="F7" i="23"/>
  <c r="F8" i="23" s="1" a="1"/>
  <c r="F8" i="23" s="1"/>
  <c r="E7" i="23"/>
  <c r="E8" i="23" s="1" a="1"/>
  <c r="E8" i="23" s="1"/>
  <c r="D7" i="23"/>
  <c r="H2" i="18"/>
  <c r="J5" i="22"/>
  <c r="J6" i="22" s="1" a="1"/>
  <c r="J6" i="22" s="1"/>
  <c r="I5" i="22"/>
  <c r="I6" i="22" s="1" a="1"/>
  <c r="I6" i="22" s="1"/>
  <c r="H5" i="22"/>
  <c r="H6" i="22" s="1" a="1"/>
  <c r="H6" i="22" s="1"/>
  <c r="G5" i="22"/>
  <c r="G6" i="22" s="1" a="1"/>
  <c r="G6" i="22" s="1"/>
  <c r="F5" i="22"/>
  <c r="F6" i="22" s="1" a="1"/>
  <c r="F6" i="22" s="1"/>
  <c r="E5" i="22"/>
  <c r="E6" i="22" s="1" a="1"/>
  <c r="E6" i="22" s="1"/>
  <c r="D5" i="22"/>
  <c r="J9" i="23"/>
  <c r="J10" i="23" s="1" a="1"/>
  <c r="J10" i="23" s="1"/>
  <c r="I9" i="23"/>
  <c r="I10" i="23" s="1" a="1"/>
  <c r="I10" i="23" s="1"/>
  <c r="H9" i="23"/>
  <c r="H10" i="23" s="1" a="1"/>
  <c r="H10" i="23" s="1"/>
  <c r="G9" i="23"/>
  <c r="G10" i="23" s="1" a="1"/>
  <c r="G10" i="23" s="1"/>
  <c r="F9" i="23"/>
  <c r="F10" i="23" s="1" a="1"/>
  <c r="F10" i="23" s="1"/>
  <c r="E9" i="23"/>
  <c r="E10" i="23" s="1" a="1"/>
  <c r="E10" i="23" s="1"/>
  <c r="D9" i="23"/>
  <c r="D10" i="14" l="1" a="1"/>
  <c r="D10" i="14" s="1"/>
  <c r="D8" i="14" a="1"/>
  <c r="D8" i="14" s="1"/>
  <c r="D6" i="14" a="1"/>
  <c r="D6" i="14" s="1"/>
  <c r="D10" i="24" a="1"/>
  <c r="D10" i="24" s="1"/>
  <c r="D12" i="24" a="1"/>
  <c r="D12" i="24" s="1"/>
  <c r="D8" i="24" a="1"/>
  <c r="D8" i="24" s="1"/>
  <c r="D6" i="24" a="1"/>
  <c r="D6" i="24" s="1"/>
  <c r="D12" i="23" a="1"/>
  <c r="D12" i="23" s="1"/>
  <c r="D10" i="23" a="1"/>
  <c r="D10" i="23" s="1"/>
  <c r="D8" i="23" a="1"/>
  <c r="D8" i="23" s="1"/>
  <c r="D6" i="23" a="1"/>
  <c r="D6" i="23" s="1"/>
  <c r="D10" i="22" a="1"/>
  <c r="D10" i="22" s="1"/>
  <c r="D8" i="22" a="1"/>
  <c r="D8" i="22" s="1"/>
  <c r="D6" i="22" a="1"/>
  <c r="D6" i="22" s="1"/>
  <c r="D12" i="21" a="1"/>
  <c r="D12" i="21" s="1"/>
  <c r="D10" i="21" a="1"/>
  <c r="D10" i="21" s="1"/>
  <c r="D8" i="21" a="1"/>
  <c r="D8" i="21" s="1"/>
  <c r="D6" i="21" a="1"/>
  <c r="D6" i="21" s="1"/>
  <c r="D12" i="20" a="1"/>
  <c r="D12" i="20" s="1"/>
  <c r="D10" i="20" a="1"/>
  <c r="D10" i="20" s="1"/>
  <c r="D8" i="20" a="1"/>
  <c r="D8" i="20" s="1"/>
  <c r="D6" i="20" a="1"/>
  <c r="D6" i="20" s="1"/>
  <c r="D10" i="17" a="1"/>
  <c r="D10" i="17" s="1"/>
  <c r="D8" i="17" a="1"/>
  <c r="D8" i="17" s="1"/>
  <c r="D6" i="17" a="1"/>
  <c r="D6" i="17" s="1"/>
  <c r="D6" i="16" a="1"/>
  <c r="D6" i="16" s="1"/>
  <c r="D10" i="25" a="1"/>
  <c r="D10" i="25" s="1"/>
  <c r="D8" i="25" a="1"/>
  <c r="D8" i="25" s="1"/>
  <c r="I4" i="25" a="1"/>
  <c r="I4" i="25" s="1"/>
  <c r="H4" i="25" a="1"/>
  <c r="H4" i="25" s="1"/>
  <c r="J4" i="25" a="1"/>
  <c r="J4" i="25" s="1"/>
  <c r="D2" i="24"/>
  <c r="F2" i="24"/>
  <c r="G2" i="24"/>
  <c r="H2" i="24"/>
  <c r="I2" i="24"/>
  <c r="E2" i="24"/>
  <c r="D2" i="23"/>
  <c r="J2" i="23"/>
  <c r="D2" i="22"/>
  <c r="I2" i="22"/>
  <c r="H2" i="22"/>
  <c r="J2" i="22"/>
  <c r="G2" i="22"/>
  <c r="D2" i="21"/>
  <c r="I2" i="21"/>
  <c r="H2" i="21"/>
  <c r="J2" i="21"/>
  <c r="G2" i="21"/>
  <c r="F2" i="21"/>
  <c r="E2" i="21"/>
  <c r="D2" i="20"/>
  <c r="J2" i="20"/>
  <c r="I2" i="20"/>
  <c r="D2" i="17"/>
  <c r="J2" i="17"/>
  <c r="I2" i="17"/>
  <c r="H2" i="17"/>
  <c r="D2" i="15"/>
  <c r="J2" i="15"/>
  <c r="I2" i="15"/>
  <c r="H2" i="15"/>
  <c r="G2" i="15"/>
  <c r="F2" i="15"/>
  <c r="F2" i="25"/>
  <c r="E2" i="25"/>
  <c r="H2" i="25"/>
  <c r="J2" i="25"/>
  <c r="I2" i="25"/>
  <c r="G2" i="25"/>
  <c r="D2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89BAB7-F05B-4631-96CA-7887BCEF54F1}" keepAlive="1" name="Query - NEW" description="Connection to the 'NEW' query in the workbook." type="5" refreshedVersion="8" background="1" saveData="1">
    <dbPr connection="Provider=Microsoft.Mashup.OleDb.1;Data Source=$Workbook$;Location=NEW;Extended Properties=&quot;&quot;" command="SELECT * FROM [NEW]"/>
  </connection>
  <connection id="2" xr16:uid="{830D39DD-2CBC-4D34-89F6-C57972C5DC7F}" keepAlive="1" name="Query - NSW(North)" description="Connection to the 'NSW(North)' query in the workbook." type="5" refreshedVersion="8" background="1" saveData="1">
    <dbPr connection="Provider=Microsoft.Mashup.OleDb.1;Data Source=$Workbook$;Location=NSW(North);Extended Properties=&quot;&quot;" command="SELECT * FROM [NSW(North)]"/>
  </connection>
  <connection id="3" xr16:uid="{41FBED4A-F758-450D-A36F-53FCE7888C43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<sst xmlns="http://schemas.openxmlformats.org/spreadsheetml/2006/main" count="1688" uniqueCount="600">
  <si>
    <t>Territory</t>
  </si>
  <si>
    <t>Group</t>
  </si>
  <si>
    <t>Group 2 IWS</t>
  </si>
  <si>
    <t>IWS Codes</t>
  </si>
  <si>
    <t>Customer Number</t>
  </si>
  <si>
    <t>Customer Name</t>
  </si>
  <si>
    <t>OLD Value</t>
  </si>
  <si>
    <t>Old Name</t>
  </si>
  <si>
    <t>NSW (North)</t>
  </si>
  <si>
    <t>IWS</t>
  </si>
  <si>
    <t/>
  </si>
  <si>
    <t>IWS20400</t>
  </si>
  <si>
    <t>ALSHAE PTY LTD T/AS MONOGRAM</t>
  </si>
  <si>
    <t>IWS12900</t>
  </si>
  <si>
    <t>BJ'S WORKWEAR NEWCASTLE PTY LTD</t>
  </si>
  <si>
    <t>IWS00700</t>
  </si>
  <si>
    <t>BJ'S WORKWEAR PTY LTD (SINGLETON)</t>
  </si>
  <si>
    <t>BJ'S WORKWEAR - SINGLETON - USE 27358</t>
  </si>
  <si>
    <t>IWS00600</t>
  </si>
  <si>
    <t>BJ'S WORKWEAR PTY LTD (THORNTON)</t>
  </si>
  <si>
    <t>BJ'S WORKWEAR PTY LTD - ( use</t>
  </si>
  <si>
    <t>INDI</t>
  </si>
  <si>
    <t xml:space="preserve"> </t>
  </si>
  <si>
    <t>BLOWES CLOTHING</t>
  </si>
  <si>
    <t>HIP POCKET</t>
  </si>
  <si>
    <t>C.M JONES &amp; D.L JONES t/as (HP WW Central Coast)</t>
  </si>
  <si>
    <t>SAFETY HQ</t>
  </si>
  <si>
    <t>CAILANA P/L  t/as NEW ENGLAND WORKWEAR</t>
  </si>
  <si>
    <t>CASA CAVACO PTY LTD t/as PORT MACQUARIE WORKWEAR</t>
  </si>
  <si>
    <t>COFFS HARBOUR DISPOSALS</t>
  </si>
  <si>
    <t>TWW</t>
  </si>
  <si>
    <t>CORKAYCHA PTY LTD t/as TWW PORT STEPHENS</t>
  </si>
  <si>
    <t>WORKLOCKER</t>
  </si>
  <si>
    <t>IWS20700</t>
  </si>
  <si>
    <t>DARC ROSE PTY LTD t/as WORKLOCKER COFFS HARBOUR</t>
  </si>
  <si>
    <t>IWS01900</t>
  </si>
  <si>
    <t>FARRAMS CLOTHING AND FOOTWEAR, MUSWELLBROOK</t>
  </si>
  <si>
    <t>IWS01800</t>
  </si>
  <si>
    <t>FARRAMS CLOTHING AND FOOTWEAR, SCONE</t>
  </si>
  <si>
    <t>FLANAGANS MENSWEAR &amp; CORPORATE SPECIALISTS PTY LTD</t>
  </si>
  <si>
    <t>IWS01000</t>
  </si>
  <si>
    <t>24479F</t>
  </si>
  <si>
    <t>FXD - BRILLIAMS</t>
  </si>
  <si>
    <t>IWS15900</t>
  </si>
  <si>
    <t>29893F</t>
  </si>
  <si>
    <t>FXD SURF, WORK &amp; STREET</t>
  </si>
  <si>
    <t>IWS02401</t>
  </si>
  <si>
    <t>G &amp; J KEANE INVESTMENTS PTY LTD</t>
  </si>
  <si>
    <t>G.C KING &amp; R.  T/AS HIP POCKET INVERELL</t>
  </si>
  <si>
    <t>IWS02600</t>
  </si>
  <si>
    <t>HENDERSONS MENSWEAR</t>
  </si>
  <si>
    <t>HIP POCKET CHARMHAVEN</t>
  </si>
  <si>
    <t>HIP POCKET GRAFTON</t>
  </si>
  <si>
    <t>HIP POCKET HUNTER P/L t/as HIP POCKET NEWCASTLE</t>
  </si>
  <si>
    <t>HIP POCKET MAITLAND</t>
  </si>
  <si>
    <t>HIP POCKET MAITLAND THORNTON</t>
  </si>
  <si>
    <t xml:space="preserve">HIP POCKET WORKWEAR &amp; SAFETY - MOREE </t>
  </si>
  <si>
    <t xml:space="preserve">HIP POCKET WORKWEAR &amp; SAFETY ERINA </t>
  </si>
  <si>
    <t>HIP POCKET WORKWEAR &amp; SAFETY NARRABRI</t>
  </si>
  <si>
    <t>IWS23500</t>
  </si>
  <si>
    <t>IVOCA PTY LTD  t/as Twin Rivers Workwear &amp; Uniform</t>
  </si>
  <si>
    <t>IWS10400</t>
  </si>
  <si>
    <t>KEMPSEY CORPORATE AND WORKWEAR</t>
  </si>
  <si>
    <t>LEHMANN CAPITAL PTY LTD t/as TWW DUBBO</t>
  </si>
  <si>
    <t>zz TOTALLY WORKWEAR DUBBO</t>
  </si>
  <si>
    <t>IWS17500</t>
  </si>
  <si>
    <t>LINUS GRAEME BOULIOPOULOS t/as LGB LOCKSMITH</t>
  </si>
  <si>
    <t>IWS03600</t>
  </si>
  <si>
    <t>MACQUARIE CLOTHING</t>
  </si>
  <si>
    <t>MCDONALDS FASHIONS PTY LTD</t>
  </si>
  <si>
    <t>NEWCASTLE WORKWEAR SPECIALISTS</t>
  </si>
  <si>
    <t>NOELCO PTY LTD t/as MCDONALDS FASHIONS</t>
  </si>
  <si>
    <t>IWS23900</t>
  </si>
  <si>
    <t>PINNACLE WORKWEAR AND UNIFORMS PTY LTD</t>
  </si>
  <si>
    <t>new</t>
  </si>
  <si>
    <t>PURSEGLOVES CLOTHING</t>
  </si>
  <si>
    <t>PURSEGLOVES CLOTHING GUNNEDAH</t>
  </si>
  <si>
    <t>RANNALA PTY LTD  t/as  COFFS WORKWEAR &amp; SAFETY</t>
  </si>
  <si>
    <t>RSEA</t>
  </si>
  <si>
    <t>RSEA  - LAKE HAVEN</t>
  </si>
  <si>
    <t>RSEA - DUBBO</t>
  </si>
  <si>
    <t>RSEA - HEATHERBRAE</t>
  </si>
  <si>
    <t>RSEA - KOTARA</t>
  </si>
  <si>
    <t>RSEA - RUTHERFORD</t>
  </si>
  <si>
    <t>IWS22200</t>
  </si>
  <si>
    <t>STRIPES ASSET SERVICES PTY LIMITED</t>
  </si>
  <si>
    <t>IWS20300</t>
  </si>
  <si>
    <t>STRIPES INDUSTRIAL SUPPLIES MUDGEE P/L</t>
  </si>
  <si>
    <t>IWS05800</t>
  </si>
  <si>
    <t>THREAD AND INK WORKWEAR</t>
  </si>
  <si>
    <t>TOTALLY WORKWEAR  KOTARA</t>
  </si>
  <si>
    <t>TOTALLY WORKWEAR CENTRAL COAST</t>
  </si>
  <si>
    <t>TOTALLY WORKWEAR TAMWORTH</t>
  </si>
  <si>
    <t>IWS12300</t>
  </si>
  <si>
    <t>UNCI GROUP PTY LTD T/AS THINK SAFETY</t>
  </si>
  <si>
    <t>WORKIN GEAR GOSFORD</t>
  </si>
  <si>
    <t xml:space="preserve">IWS17401 </t>
  </si>
  <si>
    <t>WORKWEAR MORISSET PTY LTD</t>
  </si>
  <si>
    <t>IWS19703</t>
  </si>
  <si>
    <t>WORKWEAR WARNERS BAY PTY LTD</t>
  </si>
  <si>
    <t>IWS07500</t>
  </si>
  <si>
    <t>WORKWISE CLOTHING PTY LTD</t>
  </si>
  <si>
    <t xml:space="preserve">STORE DETAILS </t>
  </si>
  <si>
    <t>Business owner details</t>
  </si>
  <si>
    <t>STORE DETAILS</t>
  </si>
  <si>
    <t>MARKETING DETAILS</t>
  </si>
  <si>
    <t>ACCOUNTING</t>
  </si>
  <si>
    <t>Custom</t>
  </si>
  <si>
    <t>Customer Object</t>
  </si>
  <si>
    <t>Customer Object (BillTo)</t>
  </si>
  <si>
    <t>Customer Territory A Name</t>
  </si>
  <si>
    <t>Customer Territory B Name</t>
  </si>
  <si>
    <t>STORE ADDRESS 1</t>
  </si>
  <si>
    <t>STORE ADDRESS 2</t>
  </si>
  <si>
    <t xml:space="preserve">CITY </t>
  </si>
  <si>
    <t>STATE</t>
  </si>
  <si>
    <t>POSTCODE</t>
  </si>
  <si>
    <t>COUNTRY</t>
  </si>
  <si>
    <t xml:space="preserve">MAIN CONTACT </t>
  </si>
  <si>
    <t>TRADE NAME</t>
  </si>
  <si>
    <t>OWNER NAME</t>
  </si>
  <si>
    <t xml:space="preserve">OWNER PHONE </t>
  </si>
  <si>
    <t xml:space="preserve">OWNER EMAIL </t>
  </si>
  <si>
    <t>STORE MANAGER NAME</t>
  </si>
  <si>
    <t>STORE PHONE NUMBER</t>
  </si>
  <si>
    <t xml:space="preserve">STORE EMAIL </t>
  </si>
  <si>
    <t>MARKET MANAGER NAME</t>
  </si>
  <si>
    <t>MARKETING PHONE NUMBER</t>
  </si>
  <si>
    <t xml:space="preserve">MARKETING EMAIL </t>
  </si>
  <si>
    <t>ACCOUNT DEPT NAME</t>
  </si>
  <si>
    <t>ACCOUNTING PHONE NUMBER</t>
  </si>
  <si>
    <t xml:space="preserve">ACCOUNTING  EMAIL </t>
  </si>
  <si>
    <t>20018 | NEWCASTLE MOBILE WORKWEAR</t>
  </si>
  <si>
    <t>AUSTRALIA     - New South Wales</t>
  </si>
  <si>
    <t>UNIT 1, 36 SMITH STREET</t>
  </si>
  <si>
    <t>.</t>
  </si>
  <si>
    <t>CHARLESTOWN</t>
  </si>
  <si>
    <t>NSW</t>
  </si>
  <si>
    <t>2290</t>
  </si>
  <si>
    <t>AUSTRALIA</t>
  </si>
  <si>
    <t>DIANE COLLIS</t>
  </si>
  <si>
    <t>NEWCASTLE MOBILE WORKWEAR</t>
  </si>
  <si>
    <t>23966 | G.C KING &amp; R.  T/AS HIP POCKET INVERELL</t>
  </si>
  <si>
    <t>2 SWANBROOK ROAD</t>
  </si>
  <si>
    <t>INVERELL</t>
  </si>
  <si>
    <t>2360</t>
  </si>
  <si>
    <t>Sonia acc's</t>
  </si>
  <si>
    <t>HIP POCKET WORKWEAR &amp; SAFETY - NORTH WEST</t>
  </si>
  <si>
    <t>23967 | HIP POCKET WORKWEAR &amp; SAFETY NARRABRI</t>
  </si>
  <si>
    <t>81 MAITLAND STREET</t>
  </si>
  <si>
    <t>NARRABRI</t>
  </si>
  <si>
    <t>2390</t>
  </si>
  <si>
    <t>-</t>
  </si>
  <si>
    <t>24479 | BRILLIAMS</t>
  </si>
  <si>
    <t>38 MARSHALL ST</t>
  </si>
  <si>
    <t>COBAR</t>
  </si>
  <si>
    <t>2835</t>
  </si>
  <si>
    <t>KELLY</t>
  </si>
  <si>
    <t>BRILLIAMS</t>
  </si>
  <si>
    <t>24721 | DARC ROSE PTY LTD t/as WORKLOCKER COFFS HARBOUR</t>
  </si>
  <si>
    <t>2/2 HALLS ROAD</t>
  </si>
  <si>
    <t>COFFS HARBOUR</t>
  </si>
  <si>
    <t>2450</t>
  </si>
  <si>
    <t>Darcy Byrne</t>
  </si>
  <si>
    <t>WORKLOCKER COFFS HARBOUR</t>
  </si>
  <si>
    <t>25673 |  S &amp; S BARROW PTY LTD t/as COASTAL CURVES SURF</t>
  </si>
  <si>
    <t>2/42 BOWRA STREET</t>
  </si>
  <si>
    <t>NAMBUCCA HEADS</t>
  </si>
  <si>
    <t>2448</t>
  </si>
  <si>
    <t>Simon  / Sarah</t>
  </si>
  <si>
    <t>COASTAL CURVES SURF</t>
  </si>
  <si>
    <t>25735 | IVOCA PTY LTD  t/as Twin Rivers Workwear &amp; Uniform</t>
  </si>
  <si>
    <t>Shop 3/36 William Street</t>
  </si>
  <si>
    <t>RAYMOND TERRACE</t>
  </si>
  <si>
    <t>2324</t>
  </si>
  <si>
    <t>Rose</t>
  </si>
  <si>
    <t>Twin Rivers Workwear &amp; Uniform</t>
  </si>
  <si>
    <t>25736 | RSEA - DUBBO</t>
  </si>
  <si>
    <t>39879 | RSEA P/L H/O</t>
  </si>
  <si>
    <t>4 HAWTHORN STREET</t>
  </si>
  <si>
    <t>DUBBO</t>
  </si>
  <si>
    <t>2830</t>
  </si>
  <si>
    <t>RSEA -  DUBBO</t>
  </si>
  <si>
    <t>25784 | BJ'S WORKWEAR NEWCASTLE PTY LTD</t>
  </si>
  <si>
    <t>27358 | BJ'S WORKWEAR PTY LTD (SINGLETON)</t>
  </si>
  <si>
    <t>SHOP 2 - 15 MURRAY DWYER CIRCUIT</t>
  </si>
  <si>
    <t>MAYFIELD WEST</t>
  </si>
  <si>
    <t>2304</t>
  </si>
  <si>
    <t>25909 | RSEA  - LAKE HAVEN</t>
  </si>
  <si>
    <t>6/53 LAKE HAVEN DRIVE</t>
  </si>
  <si>
    <t>LAKE HAVEN</t>
  </si>
  <si>
    <t>2263</t>
  </si>
  <si>
    <t>RSEA  WETHERILL PARK</t>
  </si>
  <si>
    <t>26471 | PINNACLE WORKWEAR AND UNIFORMS PTY LTD</t>
  </si>
  <si>
    <t>174 PINE AVENUE,</t>
  </si>
  <si>
    <t>TUNCURRY</t>
  </si>
  <si>
    <t>2428</t>
  </si>
  <si>
    <t>Alison Penna acc's</t>
  </si>
  <si>
    <t>WORKLOCKER FORSTER-TUNCURRY</t>
  </si>
  <si>
    <t>26530 | zzSIGNATURE CLOTHING PTY LTD -</t>
  </si>
  <si>
    <t>UNIT 9</t>
  </si>
  <si>
    <t>37 Shipley Drive</t>
  </si>
  <si>
    <t>RUTHERFORD</t>
  </si>
  <si>
    <t>2320</t>
  </si>
  <si>
    <t>ARN BETTERRIDGE</t>
  </si>
  <si>
    <t>SIGNATURE CLOTHING</t>
  </si>
  <si>
    <t>27354 | WORKWEAR MORISSET PTY LTD</t>
  </si>
  <si>
    <t>1B / 9 BRODIE STREET</t>
  </si>
  <si>
    <t>MORISSET</t>
  </si>
  <si>
    <t>2264</t>
  </si>
  <si>
    <t>27357 | WORKWEAR WARNERS BAY PTY LTD</t>
  </si>
  <si>
    <t>SHOP 3 / 395 HILLSBOROUGH  ROAD</t>
  </si>
  <si>
    <t>WARNERS BAY</t>
  </si>
  <si>
    <t>8 Ryan Ave</t>
  </si>
  <si>
    <t>SINGLETON</t>
  </si>
  <si>
    <t>2330</t>
  </si>
  <si>
    <t>DAVID COOK / KRISTY</t>
  </si>
  <si>
    <t>BJ'S WORKWEAR</t>
  </si>
  <si>
    <t>27359 | BJ'S WORKWEAR PTY LTD (THORNTON)</t>
  </si>
  <si>
    <t>1/1 GLENWOOD DRIVE</t>
  </si>
  <si>
    <t>THORNTON</t>
  </si>
  <si>
    <t>2322</t>
  </si>
  <si>
    <t>BJ'S WORKWEAR PTY LTD</t>
  </si>
  <si>
    <t>27536 | FLANAGANS MENSWEAR &amp; CORPORATE SPECIALISTS PTY LTD</t>
  </si>
  <si>
    <t>66 ORLANDO ROAD</t>
  </si>
  <si>
    <t>LAMBTON</t>
  </si>
  <si>
    <t>2299</t>
  </si>
  <si>
    <t>Robert /Angela acc's</t>
  </si>
  <si>
    <t>FLANAGANS</t>
  </si>
  <si>
    <t>27564 | WORKWISE CLOTHING PTY LTD</t>
  </si>
  <si>
    <t>49 WHITBREAD STREET</t>
  </si>
  <si>
    <t>TAREE</t>
  </si>
  <si>
    <t>2430</t>
  </si>
  <si>
    <t>Janelle Webster</t>
  </si>
  <si>
    <t>27756 | RANNALA PTY LTD  t/as  COFFS WORKWEAR &amp; SAFETY</t>
  </si>
  <si>
    <t>UNIT 3 / 84-90 INDUSTRIAL DRIVE</t>
  </si>
  <si>
    <t>Peter Rann</t>
  </si>
  <si>
    <t>COFFS WORKWEAR &amp; SAFETY</t>
  </si>
  <si>
    <t>27836 | NOELCO PTY LTD t/as MCDONALDS FASHIONS</t>
  </si>
  <si>
    <t>126 MAITLAND STREET</t>
  </si>
  <si>
    <t>Elizabeth Shepherdso</t>
  </si>
  <si>
    <t>MCDONALDS FASHIONS</t>
  </si>
  <si>
    <t>27869 | STRIPES INDUSTRIAL SUPPLIES MUDGEE P/L</t>
  </si>
  <si>
    <t>5B SYDNEY ROAD</t>
  </si>
  <si>
    <t>MUDGEE</t>
  </si>
  <si>
    <t>2850</t>
  </si>
  <si>
    <t>Molly acc's James</t>
  </si>
  <si>
    <t>28456 | zz BJ'S WORKWEAR NEWCASTLE PTY LTD</t>
  </si>
  <si>
    <t>3/8 CHANNEL ROAD</t>
  </si>
  <si>
    <t>Jodie</t>
  </si>
  <si>
    <t>28573 | HIP POCKET MAITLAND THORNTON</t>
  </si>
  <si>
    <t>28965 | HIP POCKET HUNTER P/L t/as HIP POCKET NEWCASTLE</t>
  </si>
  <si>
    <t>SHOP 5 THORNTON SUPA CENTRE</t>
  </si>
  <si>
    <t>2 NEW ENGLAND HWY</t>
  </si>
  <si>
    <t>HIP POCKET WORKWEAR &amp;  SAFETY THORNTON</t>
  </si>
  <si>
    <t>28675 | COFFS HARBOUR DISPOSALS</t>
  </si>
  <si>
    <t>162  PACIFIC HWY</t>
  </si>
  <si>
    <t>Florence</t>
  </si>
  <si>
    <t>28791 | CASA CAVACO PTY LTD t/as PORT MACQUARIE WORKWEAR</t>
  </si>
  <si>
    <t>SHOP 31 COLONIAL ARCADE</t>
  </si>
  <si>
    <t>25 TO 27 HAY STREET</t>
  </si>
  <si>
    <t>PORT MACQUARIE</t>
  </si>
  <si>
    <t>2444</t>
  </si>
  <si>
    <t>NATALIE</t>
  </si>
  <si>
    <t>PORT MACQUARIE WORKWEAR</t>
  </si>
  <si>
    <t>28955 | STRIPES ASSET SERVICES PTY LIMITED</t>
  </si>
  <si>
    <t>125 MATHIAS ROAD</t>
  </si>
  <si>
    <t>GUNNEDAH</t>
  </si>
  <si>
    <t>2380</t>
  </si>
  <si>
    <t>STRIPES INDUSTRIAL GUNNEDAH</t>
  </si>
  <si>
    <t>120 NEWCASTLE ROAD</t>
  </si>
  <si>
    <t>WALLSEND</t>
  </si>
  <si>
    <t>2287</t>
  </si>
  <si>
    <t>Jan</t>
  </si>
  <si>
    <t>HIP POCKET WORKWEAR &amp; SAFETY  HUNTER</t>
  </si>
  <si>
    <t>28975 | HIP POCKET CHARMHAVEN</t>
  </si>
  <si>
    <t>29947 | C.M JONES &amp; D.L JONES t/as (HP WW Central Coast)</t>
  </si>
  <si>
    <t>5/6 BOTHAM CLOSE</t>
  </si>
  <si>
    <t>CHARMHAVEN</t>
  </si>
  <si>
    <t>Caleb Jones</t>
  </si>
  <si>
    <t>HIP POCKET WORKWEAR &amp; SAFETY CHARMHAVEN</t>
  </si>
  <si>
    <t>29115 | CORKAYCHA PTY LTD t/as TWW PORT STEPHENS</t>
  </si>
  <si>
    <t>2/1 SKY CLOSE</t>
  </si>
  <si>
    <t>TAYLORS BEACH</t>
  </si>
  <si>
    <t>2316</t>
  </si>
  <si>
    <t>Shane Williams</t>
  </si>
  <si>
    <t>TOTALLY WORKWEAR PORT STEPHENS</t>
  </si>
  <si>
    <t>29121 | TOTALLY WORKWEAR  KOTARA</t>
  </si>
  <si>
    <t>UNIT 2, 6 BRADFORD CLOSE</t>
  </si>
  <si>
    <t>KOTARA</t>
  </si>
  <si>
    <t>2289</t>
  </si>
  <si>
    <t>TOTALLY WORKWEAR PORT KOTARA</t>
  </si>
  <si>
    <t>29153 | KEMPSEY CORPORATE AND WORKWEAR</t>
  </si>
  <si>
    <t>36 SMITH STREET</t>
  </si>
  <si>
    <t>KEMPSEY</t>
  </si>
  <si>
    <t>2440</t>
  </si>
  <si>
    <t>Fay Eakin</t>
  </si>
  <si>
    <t>29215 | FARRAMS CLOTHING AND FOOTWEAR</t>
  </si>
  <si>
    <t>157 KELLY STREET</t>
  </si>
  <si>
    <t>SCONE</t>
  </si>
  <si>
    <t>2337</t>
  </si>
  <si>
    <t>Neil McRae - Debra</t>
  </si>
  <si>
    <t>FARRAMS CLOTHING AND FOOTWEAR</t>
  </si>
  <si>
    <t>29216 | FARRAMS CLOTHING AND FOOTWEAR</t>
  </si>
  <si>
    <t>10 MAITLAND STREET</t>
  </si>
  <si>
    <t>MUSWELLBROOK</t>
  </si>
  <si>
    <t>2333</t>
  </si>
  <si>
    <t>Neil McRae</t>
  </si>
  <si>
    <t>29335 | HIP POCKET MAITLAND</t>
  </si>
  <si>
    <t>SHOP 15, 15 NORTH MALL</t>
  </si>
  <si>
    <t>HIP POCKET WORKWEAR &amp;  SAFETY MAITLAND</t>
  </si>
  <si>
    <t>29347 | PURSEGLOVES CLOTHING GUNNEDAH</t>
  </si>
  <si>
    <t>29411 | PURSEGLOVES CLOTHING</t>
  </si>
  <si>
    <t>207 CONNADILLY STREET</t>
  </si>
  <si>
    <t>Hazel Purseglove</t>
  </si>
  <si>
    <t>29368 | BLOWES CLOTHING</t>
  </si>
  <si>
    <t>18/20  CHURCH STREET</t>
  </si>
  <si>
    <t>Aaron Blowes</t>
  </si>
  <si>
    <t>352 PEEL STREET</t>
  </si>
  <si>
    <t>TAMWORTH</t>
  </si>
  <si>
    <t>2340</t>
  </si>
  <si>
    <t>29431 | LINUS GRAEME BOULIOPOULOS t/as LGB LOCKSMITH</t>
  </si>
  <si>
    <t>338 FROME STREET</t>
  </si>
  <si>
    <t>MOREE</t>
  </si>
  <si>
    <t>2400</t>
  </si>
  <si>
    <t>MOREE FIRE &amp; SECURITY</t>
  </si>
  <si>
    <t>29441 | HIP POCKET GRAFTON</t>
  </si>
  <si>
    <t>5 IOLANTHE STREET</t>
  </si>
  <si>
    <t>SOUTH GRAFTON</t>
  </si>
  <si>
    <t>2460</t>
  </si>
  <si>
    <t>Steven McPherson</t>
  </si>
  <si>
    <t>HIP POCKET WORKWEAR &amp; SAFETY GRAFTON</t>
  </si>
  <si>
    <t>29442 | UNCI GROUP PTY LTD T/AS THINK SAFETY</t>
  </si>
  <si>
    <t>SHOP 5, 180 LAKE ROAD</t>
  </si>
  <si>
    <t>Amanda Black</t>
  </si>
  <si>
    <t>THINK SAFETY</t>
  </si>
  <si>
    <t>29447 | GALLAGHER &amp; CO</t>
  </si>
  <si>
    <t>1/19 YAMBA STREET</t>
  </si>
  <si>
    <t>YAMBA</t>
  </si>
  <si>
    <t>2464</t>
  </si>
  <si>
    <t>Michele Gallagher</t>
  </si>
  <si>
    <t>TACHELEAUSTRALIA  T/AS GALLAGHER &amp; CO</t>
  </si>
  <si>
    <t>29466 | HIP POCKET WORKWEAR &amp; SAFETY - MOREE</t>
  </si>
  <si>
    <t>85  HEBER STREET</t>
  </si>
  <si>
    <t>G.C KING &amp; R.  T/AS HIP POCKET MOREE</t>
  </si>
  <si>
    <t>29468 | zz GAZZA'S MENSWEAR</t>
  </si>
  <si>
    <t>220 HOSKINS STREET</t>
  </si>
  <si>
    <t>TEMORA</t>
  </si>
  <si>
    <t>2666</t>
  </si>
  <si>
    <t>Gary or Kim</t>
  </si>
  <si>
    <t>GAZZA'S MENSWEAR</t>
  </si>
  <si>
    <t>29471 | WORKIN GEAR GOSFORD</t>
  </si>
  <si>
    <t>2 / 57 CENTRAL COAST HWY</t>
  </si>
  <si>
    <t>WEST GOSFORD</t>
  </si>
  <si>
    <t>2250</t>
  </si>
  <si>
    <t>Craig Giles</t>
  </si>
  <si>
    <t>29473 | G &amp; J KEANE INVESTMENTS PTY LTD - GOODGEAR</t>
  </si>
  <si>
    <t>29986 | G &amp; J KEANE INVESTMENTS PTY LTD</t>
  </si>
  <si>
    <t>UNIT 6/16 JUSFRUTE DRIVE</t>
  </si>
  <si>
    <t>Sally Davies</t>
  </si>
  <si>
    <t>GOODGEAR</t>
  </si>
  <si>
    <t>29488 | zz WORK AND WEAR PTY LTD</t>
  </si>
  <si>
    <t>LYDIA ACC'S</t>
  </si>
  <si>
    <t>WORKLOCKER MORISSET</t>
  </si>
  <si>
    <t>29553 | zz Centico (Aust) P/L -Twin Rivers Workwear &amp;</t>
  </si>
  <si>
    <t>29631 | ALSHAE PTY LTD T/AS MONOGRAM</t>
  </si>
  <si>
    <t>192 BRIDGE STREET</t>
  </si>
  <si>
    <t>02 67654 199</t>
  </si>
  <si>
    <t>MONOGRAM</t>
  </si>
  <si>
    <t>29649 | CAILANA P/L  t/as NEW ENGLAND WORKWEAR</t>
  </si>
  <si>
    <t>SHOP 4 / 140 MILLERS STREET</t>
  </si>
  <si>
    <t>ARMIDALE</t>
  </si>
  <si>
    <t>2350</t>
  </si>
  <si>
    <t>Mark Low</t>
  </si>
  <si>
    <t>NEW ENGLAND WORKWEAR &amp; SAFETY</t>
  </si>
  <si>
    <t>29654 | zz MCDONALDS FASHIONS PTY LTD</t>
  </si>
  <si>
    <t>John McDonald</t>
  </si>
  <si>
    <t>29673 | THREAD AND INK WORKWEAR</t>
  </si>
  <si>
    <t>148 VINCENT STREET</t>
  </si>
  <si>
    <t>CESSNOCK</t>
  </si>
  <si>
    <t>2325</t>
  </si>
  <si>
    <t>Luke</t>
  </si>
  <si>
    <t>29689 | MACQUARIE CLOTHING</t>
  </si>
  <si>
    <t>68 DANDALOO STREET</t>
  </si>
  <si>
    <t>NARROMINE</t>
  </si>
  <si>
    <t>2821</t>
  </si>
  <si>
    <t>Deb  acc's</t>
  </si>
  <si>
    <t>29747 | LEHMANN CAPITAL PTY LTD t/as TWW DUBBO</t>
  </si>
  <si>
    <t>100 ERSKINE STREET</t>
  </si>
  <si>
    <t>Jo Carlton  accounts</t>
  </si>
  <si>
    <t>TOTALLY WORKWEAR DUBBO</t>
  </si>
  <si>
    <t>29767 | HENDERSONS MENSWEAR</t>
  </si>
  <si>
    <t>123 TALBRAGAR STREET</t>
  </si>
  <si>
    <t>Chris Hall</t>
  </si>
  <si>
    <t>29788 | NEWCASTLE WORKWEAR SPECIALISTS</t>
  </si>
  <si>
    <t>26 NEWTON ST</t>
  </si>
  <si>
    <t>BROADMEADOW</t>
  </si>
  <si>
    <t>2292</t>
  </si>
  <si>
    <t>Lorie acc's</t>
  </si>
  <si>
    <t>29817 | RSEA - KOTARA</t>
  </si>
  <si>
    <t>SHOP G004 KOTARA HOME CENTRE</t>
  </si>
  <si>
    <t>1 KULLAIBA RD</t>
  </si>
  <si>
    <t>29853 | zz TOTALLY WORKWEAR COFFS HARBOUR</t>
  </si>
  <si>
    <t>29851 | BUNDARA PARK P/L atf TOWERS MOUNTAIN TRUST</t>
  </si>
  <si>
    <t>UNIT 1-36 INDUSTRIAL DRIVE</t>
  </si>
  <si>
    <t>TOTALLY WORKWEAR COFFS HARBOUR</t>
  </si>
  <si>
    <t>29858 | zz TOTALLY WORKWEAR TAMWORTH</t>
  </si>
  <si>
    <t>224 BRIDGE STREET</t>
  </si>
  <si>
    <t>Sarah Richmond</t>
  </si>
  <si>
    <t>TOTALLY WORKWEAR  TAMWORTH</t>
  </si>
  <si>
    <t>29893 | J &amp; T COLE INVESTMENTS P/L t/as SURF WORK STREET</t>
  </si>
  <si>
    <t>26 JOHN STREET</t>
  </si>
  <si>
    <t>COONABARABRAN</t>
  </si>
  <si>
    <t>2357</t>
  </si>
  <si>
    <t>Jo</t>
  </si>
  <si>
    <t>SURF, WORK &amp; STREET</t>
  </si>
  <si>
    <t>29896 | RSEA - RUTHERFORD</t>
  </si>
  <si>
    <t>1A / 343 NEW ENGLAND HWY</t>
  </si>
  <si>
    <t>406 - 408 THE ENTRANCE ROAD</t>
  </si>
  <si>
    <t>LONG JETTY</t>
  </si>
  <si>
    <t>2261</t>
  </si>
  <si>
    <t>Caleb  / Cheryl</t>
  </si>
  <si>
    <t>HIP POCKET WORKWEAR &amp; SAFETY CENTRAL COAST</t>
  </si>
  <si>
    <t>29956 | TOTALLY WORKWEAR CENTRAL COAST</t>
  </si>
  <si>
    <t>130 PACIFIC HWY</t>
  </si>
  <si>
    <t>TUGGERAH</t>
  </si>
  <si>
    <t>2259</t>
  </si>
  <si>
    <t>Sharyn</t>
  </si>
  <si>
    <t>29962 | zz BJ'S WORKWEAR PTY LTD - ( use</t>
  </si>
  <si>
    <t>Graeme Tuck / Kristy</t>
  </si>
  <si>
    <t>29980 | zz WORKLOCKER WARNERS BAY</t>
  </si>
  <si>
    <t>SHOP 3, 395 HILLSBOROUGH ROAD</t>
  </si>
  <si>
    <t>2282</t>
  </si>
  <si>
    <t>LYDIA ACC'S/ RENDYL</t>
  </si>
  <si>
    <t>WORKLOCKER WARNERS BAY</t>
  </si>
  <si>
    <t>5/54 YORK STREET</t>
  </si>
  <si>
    <t>EAST GOSFORD</t>
  </si>
  <si>
    <t>WORKWEAR EXPRESS</t>
  </si>
  <si>
    <t>29991 | RSEA - HEATHERBRAE</t>
  </si>
  <si>
    <t>UNIT 2 - 3</t>
  </si>
  <si>
    <t>2179 PACIFIC HWY</t>
  </si>
  <si>
    <t>HEATHERBRAE</t>
  </si>
  <si>
    <t>29993 | BJ'S WORKWEAR - SINGLETON - USE 27358</t>
  </si>
  <si>
    <t>8 RYAN AVE</t>
  </si>
  <si>
    <t>Kristy acc's</t>
  </si>
  <si>
    <t>BJ'S WORKWEAR PTY LTD - SINGLETON</t>
  </si>
  <si>
    <t>24479F | FXD - BRILLIAMS</t>
  </si>
  <si>
    <t>29654G</t>
  </si>
  <si>
    <t>29654G | zz MCDONALDS FASHIONS PTY LTD</t>
  </si>
  <si>
    <t>29893F | FXD SURF, WORK &amp; STREET</t>
  </si>
  <si>
    <t>26 JOHN ST</t>
  </si>
  <si>
    <t xml:space="preserve">z23944 </t>
  </si>
  <si>
    <t>z23944 | zHIP POCKET INVERELL</t>
  </si>
  <si>
    <t>213-215 BYRON STREET</t>
  </si>
  <si>
    <t>June Dawson</t>
  </si>
  <si>
    <t xml:space="preserve">z27754 </t>
  </si>
  <si>
    <t>z27754 | RANNALA PTY LTD  t/as NEW ENGLAND WORKWEAR</t>
  </si>
  <si>
    <t>zz2977</t>
  </si>
  <si>
    <t>zz29776 | PORT MACQUARIE WORKWEAR PTY LTD</t>
  </si>
  <si>
    <t>SHOP 31 COLONIAL AVE</t>
  </si>
  <si>
    <t>Emily</t>
  </si>
  <si>
    <t>PORT MACQUARIE WORKWEAR PTY LTD</t>
  </si>
  <si>
    <t>zz2997</t>
  </si>
  <si>
    <t>zz29974 | GOODGEAR / WORKWEAR EXPRESS</t>
  </si>
  <si>
    <t>GOODGEAR / WORKWEAR EXPRESS</t>
  </si>
  <si>
    <t>SHOWN</t>
  </si>
  <si>
    <t xml:space="preserve">STATUS </t>
  </si>
  <si>
    <t xml:space="preserve">ACTION </t>
  </si>
  <si>
    <t xml:space="preserve">LAST CONTACT </t>
  </si>
  <si>
    <t xml:space="preserve">SHOWN </t>
  </si>
  <si>
    <t>NOT SHOWN</t>
  </si>
  <si>
    <t>ORDERED</t>
  </si>
  <si>
    <t xml:space="preserve">EMAIL </t>
  </si>
  <si>
    <t xml:space="preserve">COMPLETED </t>
  </si>
  <si>
    <t xml:space="preserve">NOT ORDERING </t>
  </si>
  <si>
    <t xml:space="preserve">CALL </t>
  </si>
  <si>
    <t>FOLLOW UP REQUIRED</t>
  </si>
  <si>
    <t>NO ACTION REQ</t>
  </si>
  <si>
    <t>In Person VISIT</t>
  </si>
  <si>
    <t xml:space="preserve">INSTRUCTIONS </t>
  </si>
  <si>
    <t>Auto Populated - Do Not update</t>
  </si>
  <si>
    <t>REP Use</t>
  </si>
  <si>
    <t>DURA X SELL IN</t>
  </si>
  <si>
    <t>FXD WP-3L LOOSE</t>
  </si>
  <si>
    <t>FXD HI-VIS POLO</t>
  </si>
  <si>
    <t>Door Count</t>
  </si>
  <si>
    <t>TERRITORY</t>
  </si>
  <si>
    <t>Cust Code</t>
  </si>
  <si>
    <t xml:space="preserve">TRADE NAME  </t>
  </si>
  <si>
    <t>Date of last visit</t>
  </si>
  <si>
    <t>Count of Planned</t>
  </si>
  <si>
    <t>Count of Visit</t>
  </si>
  <si>
    <t xml:space="preserve">NEXT ACTION </t>
  </si>
  <si>
    <r>
      <t xml:space="preserve">LAST CONTACT 
</t>
    </r>
    <r>
      <rPr>
        <b/>
        <sz val="10"/>
        <color rgb="FFFF0000"/>
        <rFont val="Trebuchet MS"/>
        <family val="2"/>
        <scheme val="minor"/>
      </rPr>
      <t>[Enter dates only]</t>
    </r>
  </si>
  <si>
    <t>NOTES</t>
  </si>
  <si>
    <t>ACTION 2</t>
  </si>
  <si>
    <t>STATUS 3</t>
  </si>
  <si>
    <t>NEXT ACTION 4</t>
  </si>
  <si>
    <t>LAST CONTACT 
[Enter dates only]5</t>
  </si>
  <si>
    <t xml:space="preserve">NOTES   </t>
  </si>
  <si>
    <t>ACTION 22</t>
  </si>
  <si>
    <t>STATUS 33</t>
  </si>
  <si>
    <t>NEXT ACTION 44</t>
  </si>
  <si>
    <t>LAST CONTACT 
[Enter dates only]55</t>
  </si>
  <si>
    <t xml:space="preserve">NOTES </t>
  </si>
  <si>
    <t>not indenting</t>
  </si>
  <si>
    <t>not buying</t>
  </si>
  <si>
    <t>lauren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</si>
  <si>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</si>
  <si>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</si>
  <si>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</si>
  <si>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</si>
  <si>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</si>
  <si>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</si>
  <si>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</si>
  <si>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</si>
  <si>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</si>
  <si>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</si>
  <si>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</si>
  <si>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</si>
  <si>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[Enter Dates Only]</t>
  </si>
  <si>
    <t>SORT</t>
  </si>
  <si>
    <t>Notes/Comments</t>
  </si>
  <si>
    <t>Date of last completed visit</t>
  </si>
  <si>
    <t xml:space="preserve">PLANNED JAN </t>
  </si>
  <si>
    <t xml:space="preserve">COMPLETED  JAN </t>
  </si>
  <si>
    <t>PLANNED FEB</t>
  </si>
  <si>
    <t>COMPLETED FEB</t>
  </si>
  <si>
    <t>PLANNED MAR</t>
  </si>
  <si>
    <t>COMPLETED MAR</t>
  </si>
  <si>
    <t>PLANNED APR</t>
  </si>
  <si>
    <t>COMPLETED APR</t>
  </si>
  <si>
    <t>PLANNED MAY</t>
  </si>
  <si>
    <t>COMPLETED MAY</t>
  </si>
  <si>
    <t>PLANNED JUN</t>
  </si>
  <si>
    <t>COMPLETED JUN</t>
  </si>
  <si>
    <t>PLANNED JUL</t>
  </si>
  <si>
    <t>COMPLETED JUL</t>
  </si>
  <si>
    <t>PLANNED AUG</t>
  </si>
  <si>
    <t>COMPLETED AUG</t>
  </si>
  <si>
    <t>PLANNED SEP</t>
  </si>
  <si>
    <t>COMPLETED SEP</t>
  </si>
  <si>
    <t>PLANNED OCT</t>
  </si>
  <si>
    <t>COMPLETED OCT</t>
  </si>
  <si>
    <t>PLANNED NOV</t>
  </si>
  <si>
    <t>COMPLETED NOV</t>
  </si>
  <si>
    <t>PLANNED DEC</t>
  </si>
  <si>
    <t>COMPLETED DEC</t>
  </si>
  <si>
    <t xml:space="preserve">country </t>
  </si>
  <si>
    <t>hunter</t>
  </si>
  <si>
    <t>cc</t>
  </si>
  <si>
    <t>northc</t>
  </si>
  <si>
    <t>Planned</t>
  </si>
  <si>
    <t>Completed</t>
  </si>
  <si>
    <r>
      <rPr>
        <b/>
        <sz val="18"/>
        <color theme="1" tint="0.34998626667073579"/>
        <rFont val="Trebuchet MS"/>
        <family val="2"/>
        <scheme val="minor"/>
      </rPr>
      <t>Calendar settings</t>
    </r>
    <r>
      <rPr>
        <b/>
        <sz val="11"/>
        <color theme="1" tint="0.34998626667073579"/>
        <rFont val="Trebuchet MS"/>
        <family val="2"/>
        <scheme val="minor"/>
      </rPr>
      <t xml:space="preserve">
Start the calendar on either a 
Sunday or a Monday by selecting Sun 
or Mon in the Week Start cell, Q4.</t>
    </r>
  </si>
  <si>
    <t>ENTER YEAR</t>
  </si>
  <si>
    <t>WEEK START</t>
  </si>
  <si>
    <t>Annual Leave</t>
  </si>
  <si>
    <t>Mon</t>
  </si>
  <si>
    <t xml:space="preserve">Public Holiday </t>
  </si>
  <si>
    <t>1/01/2026, 26/01/2026</t>
  </si>
  <si>
    <t>2026 JANUARY</t>
  </si>
  <si>
    <t xml:space="preserve">
Priority : 
DURA - X  - Finalise Prebooks  Orders Close 31st Jan 
CP-14 Green Boonie  - EMAIL stores that did not order  - PDF order form
Install Evo-1  Delivery : 
12th Jan 2026 – INSTORE 
Install Wall Cards
IN store training
Modular Table refresh – EVO-1 on Mod table boot holders 
Activity: 
Back to Work Promos
Mop up stores that did not order EVO-1 , it will be in market and hyped up via socials, email out reminders to stores
POS Walls Delivery , Set up and stock up new Walls. 
IWS ,Safety HQ  and HP Rebate Tracking 
General Business</t>
  </si>
  <si>
    <t>&lt; DECEMBER</t>
  </si>
  <si>
    <t>&gt; FEBRUARY</t>
  </si>
  <si>
    <t>NIL</t>
  </si>
  <si>
    <t>2026 FEBRUARY</t>
  </si>
  <si>
    <t>&lt; JANUARY</t>
  </si>
  <si>
    <t>&gt; MARCH</t>
  </si>
  <si>
    <t>2026 MARCH</t>
  </si>
  <si>
    <t>&lt; FEBRUARY</t>
  </si>
  <si>
    <t>&gt; APRIL</t>
  </si>
  <si>
    <t>03/04/2026; 6/04/2026</t>
  </si>
  <si>
    <t>2026 APRIL</t>
  </si>
  <si>
    <t>&lt; MARCH</t>
  </si>
  <si>
    <t>&gt; MAY</t>
  </si>
  <si>
    <t>2026 MAY</t>
  </si>
  <si>
    <t>&lt; APRIL</t>
  </si>
  <si>
    <t>&gt; JUNE</t>
  </si>
  <si>
    <t>2026 JUNE</t>
  </si>
  <si>
    <t>&lt; MAY</t>
  </si>
  <si>
    <t>&gt; JULY</t>
  </si>
  <si>
    <t>2026 JULY</t>
  </si>
  <si>
    <t>&lt; JUNE</t>
  </si>
  <si>
    <t>&gt; AUGUST</t>
  </si>
  <si>
    <t>2026 AUGUST</t>
  </si>
  <si>
    <t>&gt; SEPTEMBER</t>
  </si>
  <si>
    <t>2026 SEPTEMBER</t>
  </si>
  <si>
    <t>&lt; AUGUST</t>
  </si>
  <si>
    <t>&gt; OCTOBER</t>
  </si>
  <si>
    <t>2026 OCTOBER</t>
  </si>
  <si>
    <t>&lt; SEPTEMBER</t>
  </si>
  <si>
    <t>&gt; NOVEMBER</t>
  </si>
  <si>
    <t>2026 NOVEMBER</t>
  </si>
  <si>
    <t>&lt; OCTOBER</t>
  </si>
  <si>
    <t>&gt; DECEMBER</t>
  </si>
  <si>
    <t>25/12/2026; 28/12/2026</t>
  </si>
  <si>
    <t>2026 DECEMBER</t>
  </si>
  <si>
    <t>&lt; NOVEMBER</t>
  </si>
  <si>
    <t>&gt; JANUARY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</si>
</sst>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"/>
    <numFmt numFmtId="165" formatCode="[$-F800]dddd\,\ mmmm\ dd\,\ yyyy"/>
  </numFmts>
  <fonts count="77">
    <font>
      <b/>
      <sz val="11"/>
      <color theme="1" tint="0.34998626667073579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b/>
      <sz val="34"/>
      <color theme="1"/>
      <name val="Trebuchet MS"/>
      <family val="2"/>
      <scheme val="major"/>
    </font>
    <font>
      <b/>
      <sz val="11"/>
      <color theme="2" tint="-0.749961851863155"/>
      <name val="Trebuchet MS"/>
      <family val="2"/>
      <scheme val="minor"/>
    </font>
    <font>
      <b/>
      <u/>
      <sz val="11"/>
      <color theme="1"/>
      <name val="Trebuchet MS"/>
      <family val="2"/>
      <scheme val="minor"/>
    </font>
    <font>
      <b/>
      <sz val="11"/>
      <color theme="1" tint="0.34998626667073579"/>
      <name val="Trebuchet MS"/>
      <family val="2"/>
      <scheme val="minor"/>
    </font>
    <font>
      <i/>
      <sz val="11"/>
      <color theme="1" tint="0.34998626667073579"/>
      <name val="Trebuchet MS"/>
      <family val="2"/>
      <scheme val="minor"/>
    </font>
    <font>
      <b/>
      <sz val="22"/>
      <color theme="1" tint="0.34998626667073579"/>
      <name val="Trebuchet MS"/>
      <family val="2"/>
      <scheme val="major"/>
    </font>
    <font>
      <b/>
      <u/>
      <sz val="11"/>
      <color theme="8" tint="-0.499984740745262"/>
      <name val="Trebuchet MS"/>
      <family val="2"/>
      <scheme val="minor"/>
    </font>
    <font>
      <b/>
      <sz val="11"/>
      <color theme="7" tint="-0.249977111117893"/>
      <name val="Trebuchet MS"/>
      <family val="2"/>
      <scheme val="minor"/>
    </font>
    <font>
      <b/>
      <sz val="34"/>
      <color theme="7" tint="-0.249977111117893"/>
      <name val="Trebuchet MS"/>
      <family val="2"/>
      <scheme val="major"/>
    </font>
    <font>
      <b/>
      <sz val="34"/>
      <color theme="7" tint="-0.499984740745262"/>
      <name val="Trebuchet MS"/>
      <family val="2"/>
      <scheme val="major"/>
    </font>
    <font>
      <b/>
      <sz val="11"/>
      <color theme="7" tint="-0.499984740745262"/>
      <name val="Trebuchet MS"/>
      <family val="2"/>
      <scheme val="minor"/>
    </font>
    <font>
      <b/>
      <sz val="14"/>
      <color theme="7" tint="-0.499984740745262"/>
      <name val="Trebuchet MS"/>
      <family val="2"/>
      <scheme val="minor"/>
    </font>
    <font>
      <b/>
      <sz val="11"/>
      <color theme="3" tint="-0.249977111117893"/>
      <name val="Trebuchet MS"/>
      <family val="2"/>
      <scheme val="minor"/>
    </font>
    <font>
      <b/>
      <sz val="11"/>
      <color theme="6" tint="-0.499984740745262"/>
      <name val="Trebuchet MS"/>
      <family val="2"/>
      <scheme val="minor"/>
    </font>
    <font>
      <b/>
      <sz val="34"/>
      <color theme="6" tint="-0.499984740745262"/>
      <name val="Trebuchet MS"/>
      <family val="2"/>
      <scheme val="major"/>
    </font>
    <font>
      <b/>
      <sz val="14"/>
      <color theme="6" tint="-0.499984740745262"/>
      <name val="Trebuchet MS"/>
      <family val="2"/>
      <scheme val="minor"/>
    </font>
    <font>
      <b/>
      <sz val="11"/>
      <color theme="8" tint="-0.499984740745262"/>
      <name val="Trebuchet MS"/>
      <family val="2"/>
      <scheme val="minor"/>
    </font>
    <font>
      <b/>
      <sz val="34"/>
      <color theme="8" tint="-0.499984740745262"/>
      <name val="Trebuchet MS"/>
      <family val="2"/>
      <scheme val="major"/>
    </font>
    <font>
      <b/>
      <sz val="14"/>
      <color theme="8" tint="-0.499984740745262"/>
      <name val="Trebuchet MS"/>
      <family val="2"/>
      <scheme val="minor"/>
    </font>
    <font>
      <b/>
      <sz val="11"/>
      <color theme="9" tint="-0.499984740745262"/>
      <name val="Trebuchet MS"/>
      <family val="2"/>
      <scheme val="minor"/>
    </font>
    <font>
      <b/>
      <sz val="34"/>
      <color theme="9" tint="-0.499984740745262"/>
      <name val="Trebuchet MS"/>
      <family val="2"/>
      <scheme val="major"/>
    </font>
    <font>
      <b/>
      <sz val="12"/>
      <color theme="9" tint="-0.499984740745262"/>
      <name val="Trebuchet MS"/>
      <family val="2"/>
      <scheme val="minor"/>
    </font>
    <font>
      <b/>
      <sz val="14"/>
      <color theme="9" tint="-0.499984740745262"/>
      <name val="Trebuchet MS"/>
      <family val="2"/>
      <scheme val="minor"/>
    </font>
    <font>
      <b/>
      <sz val="11"/>
      <color theme="5" tint="-0.499984740745262"/>
      <name val="Trebuchet MS"/>
      <family val="2"/>
      <scheme val="minor"/>
    </font>
    <font>
      <b/>
      <sz val="34"/>
      <color theme="5" tint="-0.499984740745262"/>
      <name val="Trebuchet MS"/>
      <family val="2"/>
      <scheme val="major"/>
    </font>
    <font>
      <sz val="22"/>
      <color theme="5" tint="-0.499984740745262"/>
      <name val="Trebuchet MS"/>
      <family val="2"/>
      <scheme val="major"/>
    </font>
    <font>
      <b/>
      <sz val="12"/>
      <color theme="5" tint="-0.499984740745262"/>
      <name val="Trebuchet MS"/>
      <family val="2"/>
      <scheme val="minor"/>
    </font>
    <font>
      <b/>
      <sz val="14"/>
      <color theme="5" tint="-0.499984740745262"/>
      <name val="Trebuchet MS"/>
      <family val="2"/>
      <scheme val="minor"/>
    </font>
    <font>
      <b/>
      <sz val="11"/>
      <color theme="4" tint="-0.499984740745262"/>
      <name val="Trebuchet MS"/>
      <family val="2"/>
      <scheme val="minor"/>
    </font>
    <font>
      <b/>
      <sz val="34"/>
      <color theme="4" tint="-0.499984740745262"/>
      <name val="Trebuchet MS"/>
      <family val="2"/>
      <scheme val="major"/>
    </font>
    <font>
      <b/>
      <sz val="12"/>
      <color theme="4" tint="-0.499984740745262"/>
      <name val="Trebuchet MS"/>
      <family val="2"/>
      <scheme val="minor"/>
    </font>
    <font>
      <b/>
      <sz val="14"/>
      <color theme="4" tint="-0.499984740745262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6"/>
      <color theme="9" tint="-0.499984740745262"/>
      <name val="Trebuchet MS"/>
      <family val="2"/>
      <scheme val="minor"/>
    </font>
    <font>
      <b/>
      <sz val="18"/>
      <color theme="1" tint="0.34998626667073579"/>
      <name val="Trebuchet MS"/>
      <family val="2"/>
      <scheme val="minor"/>
    </font>
    <font>
      <sz val="11"/>
      <color theme="2" tint="-0.89996032593768116"/>
      <name val="Trebuchet MS"/>
      <family val="2"/>
      <scheme val="minor"/>
    </font>
    <font>
      <sz val="11"/>
      <color theme="1" tint="4.9989318521683403E-2"/>
      <name val="Trebuchet MS"/>
      <family val="2"/>
      <scheme val="minor"/>
    </font>
    <font>
      <sz val="12"/>
      <color theme="0"/>
      <name val="Trebuchet MS"/>
      <family val="2"/>
      <scheme val="major"/>
    </font>
    <font>
      <sz val="12"/>
      <color theme="0"/>
      <name val="Trebuchet MS"/>
      <family val="2"/>
      <scheme val="minor"/>
    </font>
    <font>
      <sz val="11"/>
      <color theme="3"/>
      <name val="Trebuchet MS"/>
      <family val="2"/>
      <scheme val="minor"/>
    </font>
    <font>
      <sz val="11"/>
      <name val="Trebuchet MS"/>
      <family val="2"/>
      <scheme val="minor"/>
    </font>
    <font>
      <b/>
      <sz val="9"/>
      <color theme="1" tint="0.34998626667073579"/>
      <name val="Trebuchet MS"/>
      <family val="2"/>
      <scheme val="minor"/>
    </font>
    <font>
      <b/>
      <sz val="8"/>
      <name val="Trebuchet MS"/>
      <family val="2"/>
      <scheme val="minor"/>
    </font>
    <font>
      <b/>
      <sz val="8"/>
      <color theme="9" tint="-0.499984740745262"/>
      <name val="Trebuchet MS"/>
      <family val="2"/>
      <scheme val="minor"/>
    </font>
    <font>
      <b/>
      <sz val="9"/>
      <color theme="7" tint="-0.499984740745262"/>
      <name val="Trebuchet MS"/>
      <family val="2"/>
      <scheme val="minor"/>
    </font>
    <font>
      <b/>
      <sz val="9"/>
      <color theme="4" tint="-0.499984740745262"/>
      <name val="Trebuchet MS"/>
      <family val="2"/>
      <scheme val="minor"/>
    </font>
    <font>
      <sz val="9"/>
      <color theme="1"/>
      <name val="Trebuchet MS"/>
      <family val="2"/>
      <scheme val="minor"/>
    </font>
    <font>
      <b/>
      <sz val="9"/>
      <color theme="8" tint="-0.499984740745262"/>
      <name val="Trebuchet MS"/>
      <family val="2"/>
      <scheme val="minor"/>
    </font>
    <font>
      <b/>
      <sz val="9"/>
      <color theme="6" tint="-0.499984740745262"/>
      <name val="Trebuchet MS"/>
      <family val="2"/>
      <scheme val="minor"/>
    </font>
    <font>
      <b/>
      <sz val="9"/>
      <color theme="5" tint="-0.499984740745262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b/>
      <sz val="9"/>
      <color theme="1"/>
      <name val="Trebuchet MS"/>
      <family val="2"/>
      <scheme val="minor"/>
    </font>
    <font>
      <b/>
      <sz val="12"/>
      <color theme="9" tint="-0.499984740745262"/>
      <name val="Trebuchet MS"/>
      <family val="2"/>
      <scheme val="major"/>
    </font>
    <font>
      <b/>
      <sz val="11"/>
      <color theme="9" tint="-0.499984740745262"/>
      <name val="Trebuchet MS"/>
      <family val="2"/>
      <scheme val="major"/>
    </font>
    <font>
      <b/>
      <sz val="10"/>
      <color theme="1" tint="0.34998626667073579"/>
      <name val="Trebuchet MS"/>
      <family val="2"/>
      <scheme val="minor"/>
    </font>
    <font>
      <sz val="11"/>
      <color theme="4" tint="-0.499984740745262"/>
      <name val="Trebuchet MS"/>
      <family val="2"/>
      <scheme val="major"/>
    </font>
    <font>
      <b/>
      <sz val="11"/>
      <color theme="4" tint="-0.499984740745262"/>
      <name val="Trebuchet MS"/>
      <family val="2"/>
      <scheme val="major"/>
    </font>
    <font>
      <b/>
      <sz val="18"/>
      <color theme="7" tint="-0.249977111117893"/>
      <name val="Trebuchet MS"/>
      <family val="2"/>
      <scheme val="minor"/>
    </font>
    <font>
      <b/>
      <sz val="18"/>
      <color theme="9" tint="-0.499984740745262"/>
      <name val="Trebuchet MS"/>
      <family val="2"/>
      <scheme val="minor"/>
    </font>
    <font>
      <b/>
      <sz val="12"/>
      <color theme="7" tint="-0.249977111117893"/>
      <name val="Trebuchet MS"/>
      <family val="2"/>
      <scheme val="minor"/>
    </font>
    <font>
      <b/>
      <sz val="10"/>
      <color theme="7" tint="-0.499984740745262"/>
      <name val="Trebuchet MS"/>
      <family val="2"/>
      <scheme val="minor"/>
    </font>
    <font>
      <b/>
      <sz val="11"/>
      <color theme="6" tint="-0.499984740745262"/>
      <name val="Trebuchet MS"/>
      <family val="2"/>
      <scheme val="major"/>
    </font>
    <font>
      <b/>
      <sz val="18"/>
      <color theme="8" tint="-0.499984740745262"/>
      <name val="Trebuchet MS"/>
      <family val="2"/>
      <scheme val="minor"/>
    </font>
    <font>
      <b/>
      <sz val="18"/>
      <color theme="5" tint="-0.499984740745262"/>
      <name val="Trebuchet MS"/>
      <family val="2"/>
      <scheme val="minor"/>
    </font>
    <font>
      <b/>
      <sz val="10"/>
      <color theme="0" tint="-0.499984740745262"/>
      <name val="Trebuchet MS"/>
      <family val="2"/>
      <scheme val="minor"/>
    </font>
    <font>
      <b/>
      <sz val="10"/>
      <color rgb="FFFF0000"/>
      <name val="Trebuchet MS"/>
      <family val="2"/>
      <scheme val="minor"/>
    </font>
    <font>
      <b/>
      <sz val="9"/>
      <color rgb="FF363636"/>
      <name val="Arial"/>
      <family val="2"/>
    </font>
    <font>
      <b/>
      <sz val="11"/>
      <color rgb="FFFF0000"/>
      <name val="Trebuchet MS"/>
      <family val="2"/>
      <scheme val="minor"/>
    </font>
    <font>
      <b/>
      <sz val="8"/>
      <color rgb="FF363636"/>
      <name val="Arial"/>
      <family val="2"/>
    </font>
    <font>
      <sz val="8"/>
      <color rgb="FF363636"/>
      <name val="Arial"/>
      <family val="2"/>
    </font>
    <font>
      <b/>
      <sz val="14"/>
      <color rgb="FFFF0000"/>
      <name val="Trebuchet MS"/>
      <family val="2"/>
      <scheme val="minor"/>
    </font>
    <font>
      <b/>
      <sz val="8"/>
      <color theme="7" tint="-0.499984740745262"/>
      <name val="Trebuchet MS"/>
      <family val="2"/>
      <scheme val="minor"/>
    </font>
    <font>
      <b/>
      <sz val="12"/>
      <color rgb="FFFF0000"/>
      <name val="Trebuchet MS"/>
      <family val="2"/>
      <scheme val="minor"/>
    </font>
    <font>
      <b/>
      <sz val="12"/>
      <color theme="1" tint="0.34998626667073579"/>
      <name val="Trebuchet MS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gradientFill>
        <stop position="0">
          <color theme="3"/>
        </stop>
        <stop position="0.5">
          <color theme="3" tint="0.40000610370189521"/>
        </stop>
        <stop position="1">
          <color theme="3"/>
        </stop>
      </gradient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3C5DB"/>
        <bgColor indexed="64"/>
      </patternFill>
    </fill>
    <fill>
      <patternFill patternType="solid">
        <fgColor rgb="FFF9CF9D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66">
    <border>
      <left/>
      <right/>
      <top/>
      <bottom/>
      <diagonal/>
    </border>
    <border>
      <left style="thick">
        <color theme="4"/>
      </left>
      <right style="thick">
        <color theme="4"/>
      </right>
      <top/>
      <bottom/>
      <diagonal/>
    </border>
    <border>
      <left style="medium">
        <color theme="7" tint="-0.499984740745262"/>
      </left>
      <right/>
      <top/>
      <bottom/>
      <diagonal/>
    </border>
    <border>
      <left style="medium">
        <color theme="7" tint="-0.499984740745262"/>
      </left>
      <right style="medium">
        <color theme="7" tint="-0.499984740745262"/>
      </right>
      <top/>
      <bottom/>
      <diagonal/>
    </border>
    <border>
      <left style="medium">
        <color theme="7" tint="-0.499984740745262"/>
      </left>
      <right/>
      <top style="medium">
        <color theme="7" tint="-0.499984740745262"/>
      </top>
      <bottom/>
      <diagonal/>
    </border>
    <border>
      <left style="medium">
        <color theme="7" tint="-0.499984740745262"/>
      </left>
      <right style="medium">
        <color theme="7" tint="-0.499984740745262"/>
      </right>
      <top style="medium">
        <color theme="7" tint="-0.499984740745262"/>
      </top>
      <bottom/>
      <diagonal/>
    </border>
    <border>
      <left style="medium">
        <color theme="7" tint="-0.499984740745262"/>
      </left>
      <right/>
      <top/>
      <bottom style="medium">
        <color theme="7" tint="-0.499984740745262"/>
      </bottom>
      <diagonal/>
    </border>
    <border>
      <left style="medium">
        <color theme="7" tint="-0.499984740745262"/>
      </left>
      <right style="medium">
        <color theme="7" tint="-0.499984740745262"/>
      </right>
      <top/>
      <bottom style="medium">
        <color theme="7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 style="medium">
        <color theme="6" tint="-0.499984740745262"/>
      </top>
      <bottom/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8" tint="-0.499984740745262"/>
      </left>
      <right style="medium">
        <color theme="8" tint="-0.499984740745262"/>
      </right>
      <top/>
      <bottom style="medium">
        <color theme="8" tint="-0.499984740745262"/>
      </bottom>
      <diagonal/>
    </border>
    <border>
      <left style="medium">
        <color theme="8" tint="-0.499984740745262"/>
      </left>
      <right style="medium">
        <color theme="8" tint="-0.499984740745262"/>
      </right>
      <top/>
      <bottom/>
      <diagonal/>
    </border>
    <border>
      <left style="medium">
        <color theme="8" tint="-0.499984740745262"/>
      </left>
      <right style="medium">
        <color theme="8" tint="-0.499984740745262"/>
      </right>
      <top style="medium">
        <color theme="8" tint="-0.499984740745262"/>
      </top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/>
      <diagonal/>
    </border>
    <border>
      <left style="medium">
        <color theme="5" tint="-0.499984740745262"/>
      </left>
      <right/>
      <top/>
      <bottom/>
      <diagonal/>
    </border>
    <border>
      <left style="medium">
        <color theme="5" tint="-0.499984740745262"/>
      </left>
      <right/>
      <top/>
      <bottom style="medium">
        <color theme="5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 style="medium">
        <color theme="4" tint="-0.499984740745262"/>
      </right>
      <top/>
      <bottom/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thin">
        <color theme="8" tint="-0.49998474074526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5" tint="-0.499984740745262"/>
      </left>
      <right style="medium">
        <color theme="5" tint="-0.499984740745262"/>
      </right>
      <top style="medium">
        <color theme="5" tint="-0.499984740745262"/>
      </top>
      <bottom/>
      <diagonal/>
    </border>
    <border>
      <left style="medium">
        <color theme="5" tint="-0.499984740745262"/>
      </left>
      <right style="medium">
        <color theme="5" tint="-0.499984740745262"/>
      </right>
      <top/>
      <bottom style="medium">
        <color theme="5" tint="-0.499984740745262"/>
      </bottom>
      <diagonal/>
    </border>
    <border>
      <left style="medium">
        <color theme="5" tint="-0.499984740745262"/>
      </left>
      <right style="medium">
        <color theme="5" tint="-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5" tint="-0.499984740745262"/>
      </top>
      <bottom/>
      <diagonal/>
    </border>
    <border>
      <left style="medium">
        <color rgb="FF764407"/>
      </left>
      <right style="medium">
        <color rgb="FF764407"/>
      </right>
      <top style="medium">
        <color rgb="FF764407"/>
      </top>
      <bottom/>
      <diagonal/>
    </border>
    <border>
      <left style="medium">
        <color rgb="FF764407"/>
      </left>
      <right style="medium">
        <color rgb="FF764407"/>
      </right>
      <top/>
      <bottom style="medium">
        <color rgb="FF764407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CDCDC"/>
      </left>
      <right/>
      <top/>
      <bottom style="medium">
        <color rgb="FFDCDCDC"/>
      </bottom>
      <diagonal/>
    </border>
    <border>
      <left/>
      <right/>
      <top/>
      <bottom style="medium">
        <color rgb="FFDCDCDC"/>
      </bottom>
      <diagonal/>
    </border>
    <border>
      <left style="thin">
        <color rgb="FFDCDCDC"/>
      </left>
      <right style="thin">
        <color rgb="FFDCDCDC"/>
      </right>
      <top style="medium">
        <color rgb="FFDCDCDC"/>
      </top>
      <bottom style="thin">
        <color rgb="FFDCDCDC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/>
      <right style="thin">
        <color indexed="64"/>
      </right>
      <top/>
      <bottom style="medium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2">
    <xf numFmtId="0" fontId="0" fillId="0" borderId="0">
      <alignment horizontal="left" vertical="top" wrapText="1" indent="1"/>
    </xf>
    <xf numFmtId="0" fontId="3" fillId="0" borderId="0" applyNumberFormat="0" applyFill="0" applyBorder="0" applyProtection="0">
      <alignment horizontal="left" vertical="top"/>
    </xf>
    <xf numFmtId="0" fontId="2" fillId="0" borderId="0" applyNumberFormat="0" applyFill="0" applyProtection="0">
      <alignment vertical="top"/>
    </xf>
    <xf numFmtId="0" fontId="4" fillId="0" borderId="0" applyNumberFormat="0" applyFill="0" applyAlignment="0" applyProtection="0"/>
    <xf numFmtId="164" fontId="2" fillId="0" borderId="1" applyFill="0" applyProtection="0">
      <alignment horizontal="left" indent="1"/>
    </xf>
    <xf numFmtId="0" fontId="5" fillId="0" borderId="0" applyNumberFormat="0" applyFill="0" applyProtection="0">
      <alignment horizontal="center" vertical="top"/>
    </xf>
    <xf numFmtId="0" fontId="4" fillId="0" borderId="0" applyNumberFormat="0" applyFill="0" applyBorder="0" applyAlignment="0" applyProtection="0"/>
    <xf numFmtId="0" fontId="8" fillId="0" borderId="0" applyNumberFormat="0" applyFill="0" applyBorder="0" applyProtection="0">
      <alignment horizontal="left"/>
    </xf>
    <xf numFmtId="0" fontId="9" fillId="0" borderId="0" applyNumberFormat="0" applyFill="0" applyBorder="0" applyAlignment="0" applyProtection="0">
      <alignment horizontal="left" vertical="top" wrapText="1" indent="1"/>
    </xf>
    <xf numFmtId="0" fontId="7" fillId="0" borderId="0" applyNumberFormat="0" applyFill="0" applyBorder="0" applyAlignment="0" applyProtection="0"/>
    <xf numFmtId="0" fontId="6" fillId="0" borderId="0">
      <alignment horizontal="left" vertical="top"/>
    </xf>
    <xf numFmtId="0" fontId="6" fillId="0" borderId="1">
      <alignment horizontal="left" vertical="top" wrapText="1" indent="1"/>
    </xf>
    <xf numFmtId="0" fontId="35" fillId="0" borderId="0" applyFill="0" applyBorder="0">
      <alignment horizontal="center" vertical="center"/>
    </xf>
    <xf numFmtId="0" fontId="39" fillId="0" borderId="0">
      <alignment horizontal="left" vertical="center" wrapText="1" indent="1"/>
    </xf>
    <xf numFmtId="0" fontId="40" fillId="21" borderId="26" applyNumberFormat="0" applyProtection="0">
      <alignment horizontal="center" vertical="center"/>
    </xf>
    <xf numFmtId="0" fontId="41" fillId="22" borderId="0" applyProtection="0">
      <alignment horizontal="left" indent="1"/>
    </xf>
    <xf numFmtId="0" fontId="38" fillId="0" borderId="0" applyNumberFormat="0" applyProtection="0">
      <alignment horizontal="right" indent="1"/>
    </xf>
    <xf numFmtId="164" fontId="42" fillId="0" borderId="27">
      <alignment horizontal="left" vertical="center" indent="1"/>
    </xf>
    <xf numFmtId="0" fontId="43" fillId="0" borderId="28" applyNumberFormat="0" applyFont="0" applyFill="0" applyAlignment="0" applyProtection="0"/>
    <xf numFmtId="0" fontId="39" fillId="0" borderId="29" applyNumberFormat="0" applyFont="0" applyFill="0" applyAlignment="0" applyProtection="0">
      <alignment horizontal="left" vertical="center" wrapText="1" indent="1"/>
    </xf>
    <xf numFmtId="0" fontId="39" fillId="0" borderId="30" applyNumberFormat="0" applyFont="0" applyFill="0" applyAlignment="0" applyProtection="0">
      <alignment horizontal="left" vertical="center" wrapText="1" indent="1"/>
    </xf>
    <xf numFmtId="0" fontId="1" fillId="0" borderId="0"/>
  </cellStyleXfs>
  <cellXfs count="322">
    <xf numFmtId="0" fontId="0" fillId="0" borderId="0" xfId="0">
      <alignment horizontal="left" vertical="top" wrapText="1" indent="1"/>
    </xf>
    <xf numFmtId="0" fontId="0" fillId="3" borderId="0" xfId="0" applyFill="1">
      <alignment horizontal="left" vertical="top" wrapText="1" indent="1"/>
    </xf>
    <xf numFmtId="0" fontId="0" fillId="5" borderId="0" xfId="0" applyFill="1">
      <alignment horizontal="left" vertical="top" wrapText="1" indent="1"/>
    </xf>
    <xf numFmtId="0" fontId="0" fillId="6" borderId="0" xfId="0" applyFill="1">
      <alignment horizontal="left" vertical="top" wrapText="1" indent="1"/>
    </xf>
    <xf numFmtId="0" fontId="10" fillId="6" borderId="0" xfId="0" applyFont="1" applyFill="1">
      <alignment horizontal="left" vertical="top" wrapText="1" indent="1"/>
    </xf>
    <xf numFmtId="164" fontId="11" fillId="6" borderId="0" xfId="1" applyNumberFormat="1" applyFont="1" applyFill="1" applyAlignment="1">
      <alignment horizontal="left"/>
    </xf>
    <xf numFmtId="164" fontId="11" fillId="6" borderId="0" xfId="1" applyNumberFormat="1" applyFont="1" applyFill="1">
      <alignment horizontal="left" vertical="top"/>
    </xf>
    <xf numFmtId="0" fontId="11" fillId="6" borderId="0" xfId="1" applyFont="1" applyFill="1" applyAlignment="1">
      <alignment horizontal="center" vertical="top"/>
    </xf>
    <xf numFmtId="0" fontId="13" fillId="6" borderId="0" xfId="2" applyFont="1" applyFill="1">
      <alignment vertical="top"/>
    </xf>
    <xf numFmtId="0" fontId="0" fillId="7" borderId="0" xfId="0" applyFill="1">
      <alignment horizontal="left" vertical="top" wrapText="1" indent="1"/>
    </xf>
    <xf numFmtId="0" fontId="0" fillId="8" borderId="0" xfId="0" applyFill="1">
      <alignment horizontal="left" vertical="top" wrapText="1" indent="1"/>
    </xf>
    <xf numFmtId="164" fontId="13" fillId="7" borderId="4" xfId="4" applyFont="1" applyFill="1" applyBorder="1" applyAlignment="1">
      <alignment horizontal="left" vertical="center" indent="1"/>
    </xf>
    <xf numFmtId="164" fontId="13" fillId="7" borderId="5" xfId="4" applyFont="1" applyFill="1" applyBorder="1" applyAlignment="1">
      <alignment horizontal="left" vertical="center" indent="1"/>
    </xf>
    <xf numFmtId="0" fontId="13" fillId="6" borderId="2" xfId="11" applyFont="1" applyFill="1" applyBorder="1" applyAlignment="1">
      <alignment horizontal="left" vertical="center" wrapText="1" indent="1"/>
    </xf>
    <xf numFmtId="0" fontId="13" fillId="6" borderId="3" xfId="11" applyFont="1" applyFill="1" applyBorder="1" applyAlignment="1">
      <alignment horizontal="left" vertical="center" wrapText="1" indent="1"/>
    </xf>
    <xf numFmtId="0" fontId="0" fillId="9" borderId="0" xfId="0" applyFill="1">
      <alignment horizontal="left" vertical="top" wrapText="1" indent="1"/>
    </xf>
    <xf numFmtId="0" fontId="0" fillId="10" borderId="0" xfId="0" applyFill="1">
      <alignment horizontal="left" vertical="top" wrapText="1" indent="1"/>
    </xf>
    <xf numFmtId="0" fontId="0" fillId="11" borderId="0" xfId="0" applyFill="1">
      <alignment horizontal="left" vertical="top" wrapText="1" indent="1"/>
    </xf>
    <xf numFmtId="0" fontId="13" fillId="11" borderId="0" xfId="0" applyFont="1" applyFill="1" applyAlignment="1">
      <alignment horizontal="right" vertical="top" wrapText="1"/>
    </xf>
    <xf numFmtId="0" fontId="10" fillId="12" borderId="0" xfId="0" applyFont="1" applyFill="1">
      <alignment horizontal="left" vertical="top" wrapText="1" indent="1"/>
    </xf>
    <xf numFmtId="164" fontId="11" fillId="12" borderId="0" xfId="1" applyNumberFormat="1" applyFont="1" applyFill="1" applyAlignment="1">
      <alignment horizontal="left"/>
    </xf>
    <xf numFmtId="164" fontId="11" fillId="12" borderId="0" xfId="1" applyNumberFormat="1" applyFont="1" applyFill="1">
      <alignment horizontal="left" vertical="top"/>
    </xf>
    <xf numFmtId="0" fontId="11" fillId="12" borderId="0" xfId="1" applyFont="1" applyFill="1" applyAlignment="1">
      <alignment horizontal="center" vertical="top"/>
    </xf>
    <xf numFmtId="0" fontId="0" fillId="12" borderId="0" xfId="0" applyFill="1">
      <alignment horizontal="left" vertical="top" wrapText="1" indent="1"/>
    </xf>
    <xf numFmtId="0" fontId="16" fillId="12" borderId="0" xfId="2" applyFont="1" applyFill="1">
      <alignment vertical="top"/>
    </xf>
    <xf numFmtId="0" fontId="16" fillId="12" borderId="9" xfId="11" applyFont="1" applyFill="1" applyBorder="1" applyAlignment="1">
      <alignment horizontal="left" vertical="center" wrapText="1" indent="1"/>
    </xf>
    <xf numFmtId="164" fontId="16" fillId="11" borderId="8" xfId="4" applyFont="1" applyFill="1" applyBorder="1" applyAlignment="1">
      <alignment horizontal="left" vertical="center" indent="1"/>
    </xf>
    <xf numFmtId="0" fontId="19" fillId="13" borderId="0" xfId="0" applyFont="1" applyFill="1">
      <alignment horizontal="left" vertical="top" wrapText="1" indent="1"/>
    </xf>
    <xf numFmtId="0" fontId="19" fillId="2" borderId="0" xfId="0" applyFont="1" applyFill="1">
      <alignment horizontal="left" vertical="top" wrapText="1" indent="1"/>
    </xf>
    <xf numFmtId="164" fontId="20" fillId="2" borderId="0" xfId="1" applyNumberFormat="1" applyFont="1" applyFill="1" applyAlignment="1">
      <alignment horizontal="left"/>
    </xf>
    <xf numFmtId="164" fontId="20" fillId="2" borderId="0" xfId="1" applyNumberFormat="1" applyFont="1" applyFill="1">
      <alignment horizontal="left" vertical="top"/>
    </xf>
    <xf numFmtId="0" fontId="20" fillId="2" borderId="0" xfId="1" applyFont="1" applyFill="1" applyAlignment="1">
      <alignment horizontal="center" vertical="top"/>
    </xf>
    <xf numFmtId="0" fontId="19" fillId="2" borderId="0" xfId="2" applyFont="1" applyFill="1">
      <alignment vertical="top"/>
    </xf>
    <xf numFmtId="0" fontId="19" fillId="14" borderId="0" xfId="0" applyFont="1" applyFill="1">
      <alignment horizontal="left" vertical="top" wrapText="1" indent="1"/>
    </xf>
    <xf numFmtId="0" fontId="19" fillId="14" borderId="0" xfId="0" applyFont="1" applyFill="1" applyAlignment="1">
      <alignment horizontal="right" vertical="top" wrapText="1"/>
    </xf>
    <xf numFmtId="0" fontId="19" fillId="2" borderId="11" xfId="11" applyFont="1" applyFill="1" applyBorder="1" applyAlignment="1">
      <alignment horizontal="left" vertical="center" wrapText="1" indent="1"/>
    </xf>
    <xf numFmtId="164" fontId="19" fillId="14" borderId="12" xfId="4" applyFont="1" applyFill="1" applyBorder="1" applyAlignment="1">
      <alignment horizontal="left" vertical="center" indent="1"/>
    </xf>
    <xf numFmtId="0" fontId="22" fillId="16" borderId="0" xfId="0" applyFont="1" applyFill="1">
      <alignment horizontal="left" vertical="top" wrapText="1" indent="1"/>
    </xf>
    <xf numFmtId="0" fontId="22" fillId="17" borderId="0" xfId="0" applyFont="1" applyFill="1">
      <alignment horizontal="left" vertical="top" wrapText="1" indent="1"/>
    </xf>
    <xf numFmtId="164" fontId="23" fillId="17" borderId="0" xfId="1" applyNumberFormat="1" applyFont="1" applyFill="1" applyAlignment="1">
      <alignment horizontal="left"/>
    </xf>
    <xf numFmtId="164" fontId="23" fillId="17" borderId="0" xfId="1" applyNumberFormat="1" applyFont="1" applyFill="1">
      <alignment horizontal="left" vertical="top"/>
    </xf>
    <xf numFmtId="0" fontId="23" fillId="17" borderId="0" xfId="1" applyFont="1" applyFill="1" applyAlignment="1">
      <alignment horizontal="center" vertical="top"/>
    </xf>
    <xf numFmtId="0" fontId="22" fillId="17" borderId="0" xfId="2" applyFont="1" applyFill="1">
      <alignment vertical="top"/>
    </xf>
    <xf numFmtId="0" fontId="22" fillId="15" borderId="0" xfId="0" applyFont="1" applyFill="1">
      <alignment horizontal="left" vertical="top" wrapText="1" indent="1"/>
    </xf>
    <xf numFmtId="0" fontId="22" fillId="15" borderId="0" xfId="0" applyFont="1" applyFill="1" applyAlignment="1">
      <alignment horizontal="right" vertical="top" wrapText="1"/>
    </xf>
    <xf numFmtId="164" fontId="22" fillId="15" borderId="16" xfId="4" applyFont="1" applyFill="1" applyBorder="1" applyAlignment="1">
      <alignment horizontal="left" vertical="center" indent="1"/>
    </xf>
    <xf numFmtId="0" fontId="26" fillId="20" borderId="0" xfId="0" applyFont="1" applyFill="1">
      <alignment horizontal="left" vertical="top" wrapText="1" indent="1"/>
    </xf>
    <xf numFmtId="0" fontId="27" fillId="20" borderId="0" xfId="1" applyFont="1" applyFill="1" applyAlignment="1">
      <alignment horizontal="center" vertical="top"/>
    </xf>
    <xf numFmtId="0" fontId="22" fillId="18" borderId="0" xfId="0" applyFont="1" applyFill="1">
      <alignment horizontal="left" vertical="top" wrapText="1" indent="1"/>
    </xf>
    <xf numFmtId="0" fontId="22" fillId="19" borderId="0" xfId="0" applyFont="1" applyFill="1">
      <alignment horizontal="left" vertical="top" wrapText="1" indent="1"/>
    </xf>
    <xf numFmtId="0" fontId="22" fillId="19" borderId="0" xfId="0" applyFont="1" applyFill="1" applyAlignment="1">
      <alignment horizontal="right" vertical="top" wrapText="1"/>
    </xf>
    <xf numFmtId="164" fontId="26" fillId="19" borderId="19" xfId="4" applyFont="1" applyFill="1" applyBorder="1" applyAlignment="1">
      <alignment horizontal="left" vertical="center" indent="1"/>
    </xf>
    <xf numFmtId="164" fontId="26" fillId="19" borderId="20" xfId="4" applyFont="1" applyFill="1" applyBorder="1" applyAlignment="1">
      <alignment horizontal="left" vertical="center" indent="1"/>
    </xf>
    <xf numFmtId="164" fontId="22" fillId="15" borderId="17" xfId="4" applyFont="1" applyFill="1" applyBorder="1" applyAlignment="1">
      <alignment horizontal="left" vertical="center" indent="1"/>
    </xf>
    <xf numFmtId="164" fontId="22" fillId="15" borderId="14" xfId="4" applyFont="1" applyFill="1" applyBorder="1" applyAlignment="1">
      <alignment horizontal="left" vertical="center" indent="1"/>
    </xf>
    <xf numFmtId="0" fontId="22" fillId="17" borderId="15" xfId="11" applyFont="1" applyFill="1" applyBorder="1" applyAlignment="1">
      <alignment horizontal="left" vertical="center" wrapText="1" indent="1"/>
    </xf>
    <xf numFmtId="0" fontId="22" fillId="17" borderId="18" xfId="11" applyFont="1" applyFill="1" applyBorder="1" applyAlignment="1">
      <alignment horizontal="left" vertical="center" wrapText="1" indent="1"/>
    </xf>
    <xf numFmtId="0" fontId="13" fillId="5" borderId="0" xfId="0" applyFont="1" applyFill="1" applyAlignment="1">
      <alignment horizontal="right" vertical="top" wrapText="1" indent="1"/>
    </xf>
    <xf numFmtId="0" fontId="13" fillId="5" borderId="0" xfId="0" applyFont="1" applyFill="1" applyAlignment="1">
      <alignment horizontal="right" vertical="top" wrapText="1"/>
    </xf>
    <xf numFmtId="0" fontId="31" fillId="4" borderId="0" xfId="0" applyFont="1" applyFill="1">
      <alignment horizontal="left" vertical="top" wrapText="1" indent="1"/>
    </xf>
    <xf numFmtId="164" fontId="32" fillId="4" borderId="0" xfId="1" applyNumberFormat="1" applyFont="1" applyFill="1" applyBorder="1" applyAlignment="1">
      <alignment horizontal="left"/>
    </xf>
    <xf numFmtId="164" fontId="32" fillId="4" borderId="0" xfId="1" applyNumberFormat="1" applyFont="1" applyFill="1" applyBorder="1">
      <alignment horizontal="left" vertical="top"/>
    </xf>
    <xf numFmtId="164" fontId="32" fillId="4" borderId="0" xfId="1" applyNumberFormat="1" applyFont="1" applyFill="1">
      <alignment horizontal="left" vertical="top"/>
    </xf>
    <xf numFmtId="0" fontId="32" fillId="4" borderId="0" xfId="1" applyFont="1" applyFill="1" applyAlignment="1">
      <alignment horizontal="center" vertical="top"/>
    </xf>
    <xf numFmtId="0" fontId="31" fillId="4" borderId="0" xfId="2" applyFont="1" applyFill="1">
      <alignment vertical="top"/>
    </xf>
    <xf numFmtId="164" fontId="31" fillId="5" borderId="24" xfId="4" applyFont="1" applyFill="1" applyBorder="1" applyAlignment="1">
      <alignment horizontal="left" vertical="center" indent="1"/>
    </xf>
    <xf numFmtId="0" fontId="31" fillId="4" borderId="22" xfId="11" applyFont="1" applyFill="1" applyBorder="1" applyAlignment="1">
      <alignment horizontal="left" vertical="center" wrapText="1" indent="1"/>
    </xf>
    <xf numFmtId="164" fontId="31" fillId="5" borderId="23" xfId="4" applyFont="1" applyFill="1" applyBorder="1" applyAlignment="1">
      <alignment horizontal="left" vertical="center" indent="1"/>
    </xf>
    <xf numFmtId="0" fontId="24" fillId="3" borderId="0" xfId="5" applyFont="1" applyFill="1" applyAlignment="1">
      <alignment horizontal="left" vertical="center" indent="2"/>
    </xf>
    <xf numFmtId="0" fontId="22" fillId="3" borderId="0" xfId="0" applyFont="1" applyFill="1" applyAlignment="1">
      <alignment horizontal="left" vertical="top" wrapText="1" indent="2"/>
    </xf>
    <xf numFmtId="0" fontId="0" fillId="15" borderId="25" xfId="0" applyFill="1" applyBorder="1" applyAlignment="1">
      <alignment horizontal="left" vertical="center" wrapText="1" indent="1"/>
    </xf>
    <xf numFmtId="0" fontId="0" fillId="17" borderId="25" xfId="0" applyFill="1" applyBorder="1" applyAlignment="1">
      <alignment horizontal="center" vertical="center" wrapText="1"/>
    </xf>
    <xf numFmtId="0" fontId="36" fillId="3" borderId="0" xfId="5" applyFont="1" applyFill="1" applyAlignment="1">
      <alignment vertical="center" wrapText="1"/>
    </xf>
    <xf numFmtId="164" fontId="22" fillId="15" borderId="13" xfId="4" applyFont="1" applyFill="1" applyBorder="1" applyAlignment="1">
      <alignment horizontal="left" vertical="center" indent="1"/>
    </xf>
    <xf numFmtId="0" fontId="13" fillId="6" borderId="6" xfId="11" applyFont="1" applyFill="1" applyBorder="1" applyAlignment="1">
      <alignment horizontal="left" vertical="center" wrapText="1" indent="1"/>
    </xf>
    <xf numFmtId="0" fontId="13" fillId="6" borderId="7" xfId="11" applyFont="1" applyFill="1" applyBorder="1" applyAlignment="1">
      <alignment horizontal="left" vertical="center" wrapText="1" indent="1"/>
    </xf>
    <xf numFmtId="0" fontId="19" fillId="2" borderId="10" xfId="11" applyFont="1" applyFill="1" applyBorder="1" applyAlignment="1">
      <alignment horizontal="left" vertical="center" wrapText="1" indent="1"/>
    </xf>
    <xf numFmtId="164" fontId="26" fillId="19" borderId="31" xfId="4" applyFont="1" applyFill="1" applyBorder="1" applyAlignment="1">
      <alignment horizontal="left" vertical="center" indent="1"/>
    </xf>
    <xf numFmtId="164" fontId="26" fillId="19" borderId="33" xfId="4" applyFont="1" applyFill="1" applyBorder="1" applyAlignment="1">
      <alignment horizontal="left" vertical="center" indent="1"/>
    </xf>
    <xf numFmtId="0" fontId="22" fillId="3" borderId="0" xfId="0" applyFont="1" applyFill="1" applyAlignment="1">
      <alignment vertical="top" wrapText="1"/>
    </xf>
    <xf numFmtId="0" fontId="44" fillId="0" borderId="0" xfId="0" applyFont="1">
      <alignment horizontal="left" vertical="top" wrapText="1" indent="1"/>
    </xf>
    <xf numFmtId="0" fontId="46" fillId="23" borderId="18" xfId="11" applyFont="1" applyFill="1" applyBorder="1" applyAlignment="1">
      <alignment vertical="top" wrapText="1"/>
    </xf>
    <xf numFmtId="164" fontId="22" fillId="26" borderId="13" xfId="4" applyFont="1" applyFill="1" applyBorder="1" applyAlignment="1">
      <alignment horizontal="left" vertical="center" indent="1"/>
    </xf>
    <xf numFmtId="164" fontId="22" fillId="26" borderId="16" xfId="4" applyFont="1" applyFill="1" applyBorder="1" applyAlignment="1">
      <alignment horizontal="left" vertical="center" indent="1"/>
    </xf>
    <xf numFmtId="164" fontId="22" fillId="26" borderId="14" xfId="4" applyFont="1" applyFill="1" applyBorder="1" applyAlignment="1">
      <alignment horizontal="left" vertical="center" indent="1"/>
    </xf>
    <xf numFmtId="164" fontId="22" fillId="26" borderId="17" xfId="4" applyFont="1" applyFill="1" applyBorder="1" applyAlignment="1">
      <alignment horizontal="left" vertical="center" indent="1"/>
    </xf>
    <xf numFmtId="0" fontId="0" fillId="0" borderId="0" xfId="0" applyAlignment="1">
      <alignment horizontal="left" vertical="top" wrapText="1"/>
    </xf>
    <xf numFmtId="0" fontId="47" fillId="6" borderId="2" xfId="11" applyFont="1" applyFill="1" applyBorder="1" applyAlignment="1">
      <alignment vertical="top" wrapText="1"/>
    </xf>
    <xf numFmtId="0" fontId="48" fillId="4" borderId="22" xfId="11" applyFont="1" applyFill="1" applyBorder="1" applyAlignment="1">
      <alignment vertical="top" wrapText="1"/>
    </xf>
    <xf numFmtId="0" fontId="49" fillId="17" borderId="34" xfId="0" applyFont="1" applyFill="1" applyBorder="1" applyAlignment="1"/>
    <xf numFmtId="0" fontId="50" fillId="2" borderId="11" xfId="11" applyFont="1" applyFill="1" applyBorder="1" applyAlignment="1">
      <alignment vertical="top" wrapText="1"/>
    </xf>
    <xf numFmtId="0" fontId="50" fillId="2" borderId="11" xfId="11" applyFont="1" applyFill="1" applyBorder="1" applyAlignment="1">
      <alignment horizontal="left" vertical="top" wrapText="1"/>
    </xf>
    <xf numFmtId="0" fontId="51" fillId="12" borderId="9" xfId="11" applyFont="1" applyFill="1" applyBorder="1">
      <alignment horizontal="left" vertical="top" wrapText="1" indent="1"/>
    </xf>
    <xf numFmtId="0" fontId="51" fillId="12" borderId="9" xfId="11" applyFont="1" applyFill="1" applyBorder="1" applyAlignment="1">
      <alignment horizontal="left" vertical="top" wrapText="1"/>
    </xf>
    <xf numFmtId="0" fontId="51" fillId="12" borderId="9" xfId="11" applyFont="1" applyFill="1" applyBorder="1" applyAlignment="1">
      <alignment vertical="top" wrapText="1"/>
    </xf>
    <xf numFmtId="0" fontId="52" fillId="20" borderId="21" xfId="11" applyFont="1" applyFill="1" applyBorder="1" applyAlignment="1">
      <alignment vertical="top" wrapText="1"/>
    </xf>
    <xf numFmtId="0" fontId="52" fillId="20" borderId="32" xfId="11" applyFont="1" applyFill="1" applyBorder="1" applyAlignment="1">
      <alignment vertical="top" wrapText="1"/>
    </xf>
    <xf numFmtId="164" fontId="26" fillId="19" borderId="37" xfId="4" applyFont="1" applyFill="1" applyBorder="1" applyAlignment="1">
      <alignment horizontal="left" vertical="center" indent="1"/>
    </xf>
    <xf numFmtId="164" fontId="26" fillId="19" borderId="38" xfId="4" applyFont="1" applyFill="1" applyBorder="1" applyAlignment="1">
      <alignment horizontal="left" vertical="center" indent="1"/>
    </xf>
    <xf numFmtId="164" fontId="27" fillId="20" borderId="0" xfId="1" applyNumberFormat="1" applyFont="1" applyFill="1">
      <alignment horizontal="left" vertical="top"/>
    </xf>
    <xf numFmtId="0" fontId="26" fillId="20" borderId="0" xfId="0" applyFont="1" applyFill="1" applyAlignment="1">
      <alignment horizontal="left" vertical="top" wrapText="1"/>
    </xf>
    <xf numFmtId="0" fontId="26" fillId="20" borderId="0" xfId="2" applyFont="1" applyFill="1">
      <alignment vertical="top"/>
    </xf>
    <xf numFmtId="0" fontId="28" fillId="27" borderId="39" xfId="7" applyFont="1" applyFill="1" applyBorder="1" applyAlignment="1">
      <alignment horizontal="left" vertical="top"/>
    </xf>
    <xf numFmtId="0" fontId="26" fillId="20" borderId="21" xfId="11" applyFont="1" applyFill="1" applyBorder="1" applyAlignment="1">
      <alignment horizontal="left" vertical="top" wrapText="1"/>
    </xf>
    <xf numFmtId="0" fontId="26" fillId="20" borderId="32" xfId="11" applyFont="1" applyFill="1" applyBorder="1" applyAlignment="1">
      <alignment horizontal="left" vertical="top" wrapText="1"/>
    </xf>
    <xf numFmtId="0" fontId="27" fillId="20" borderId="0" xfId="1" applyFont="1" applyFill="1">
      <alignment horizontal="left" vertical="top"/>
    </xf>
    <xf numFmtId="0" fontId="26" fillId="20" borderId="0" xfId="2" applyFont="1" applyFill="1" applyAlignment="1">
      <alignment horizontal="left" vertical="top"/>
    </xf>
    <xf numFmtId="0" fontId="52" fillId="20" borderId="21" xfId="11" applyFont="1" applyFill="1" applyBorder="1" applyAlignment="1">
      <alignment horizontal="left" vertical="top" wrapText="1"/>
    </xf>
    <xf numFmtId="0" fontId="52" fillId="20" borderId="32" xfId="11" applyFont="1" applyFill="1" applyBorder="1" applyAlignment="1">
      <alignment horizontal="left" vertical="top" wrapText="1"/>
    </xf>
    <xf numFmtId="0" fontId="53" fillId="28" borderId="35" xfId="0" applyFont="1" applyFill="1" applyBorder="1" applyAlignment="1">
      <alignment horizontal="left" vertical="top" wrapText="1"/>
    </xf>
    <xf numFmtId="0" fontId="53" fillId="28" borderId="36" xfId="0" applyFont="1" applyFill="1" applyBorder="1" applyAlignment="1">
      <alignment horizontal="centerContinuous" vertical="top" wrapText="1"/>
    </xf>
    <xf numFmtId="0" fontId="53" fillId="28" borderId="35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54" fillId="0" borderId="34" xfId="0" applyFont="1" applyBorder="1" applyAlignment="1"/>
    <xf numFmtId="165" fontId="54" fillId="0" borderId="35" xfId="0" applyNumberFormat="1" applyFont="1" applyBorder="1" applyAlignment="1">
      <alignment horizontal="left"/>
    </xf>
    <xf numFmtId="0" fontId="54" fillId="0" borderId="34" xfId="0" applyFont="1" applyBorder="1" applyAlignment="1">
      <alignment horizontal="center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Protection="1">
      <alignment horizontal="left" vertical="top" wrapText="1" indent="1"/>
      <protection locked="0"/>
    </xf>
    <xf numFmtId="0" fontId="0" fillId="0" borderId="0" xfId="0" applyAlignment="1" applyProtection="1">
      <alignment horizontal="centerContinuous" vertical="center" wrapText="1"/>
      <protection locked="0"/>
    </xf>
    <xf numFmtId="165" fontId="44" fillId="0" borderId="35" xfId="0" applyNumberFormat="1" applyFont="1" applyBorder="1" applyAlignment="1" applyProtection="1">
      <alignment horizontal="left" vertical="top" wrapText="1"/>
      <protection locked="0"/>
    </xf>
    <xf numFmtId="0" fontId="44" fillId="0" borderId="34" xfId="0" applyFont="1" applyBorder="1" applyAlignment="1" applyProtection="1">
      <alignment horizontal="center" vertical="top" wrapText="1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3" fillId="28" borderId="40" xfId="0" applyFont="1" applyFill="1" applyBorder="1" applyAlignment="1" applyProtection="1">
      <alignment horizontal="centerContinuous" vertical="top" wrapText="1"/>
      <protection locked="0"/>
    </xf>
    <xf numFmtId="0" fontId="44" fillId="25" borderId="41" xfId="0" applyFont="1" applyFill="1" applyBorder="1" applyAlignment="1" applyProtection="1">
      <alignment horizontal="center" vertical="top" wrapText="1"/>
      <protection locked="0"/>
    </xf>
    <xf numFmtId="0" fontId="44" fillId="25" borderId="42" xfId="0" applyFont="1" applyFill="1" applyBorder="1" applyAlignment="1" applyProtection="1">
      <alignment horizontal="center" vertical="top" wrapText="1"/>
      <protection locked="0"/>
    </xf>
    <xf numFmtId="165" fontId="44" fillId="0" borderId="43" xfId="0" applyNumberFormat="1" applyFont="1" applyBorder="1" applyAlignment="1" applyProtection="1">
      <alignment horizontal="left" vertical="top" wrapText="1"/>
      <protection locked="0"/>
    </xf>
    <xf numFmtId="0" fontId="44" fillId="0" borderId="44" xfId="0" applyFont="1" applyBorder="1" applyAlignment="1" applyProtection="1">
      <alignment horizontal="center" vertical="top" wrapText="1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44" fillId="0" borderId="43" xfId="0" applyFont="1" applyBorder="1" applyAlignment="1" applyProtection="1">
      <alignment horizontal="center" vertical="top" wrapText="1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35" xfId="0" applyFont="1" applyBorder="1" applyAlignment="1">
      <alignment horizontal="left" vertical="top" wrapText="1"/>
    </xf>
    <xf numFmtId="0" fontId="54" fillId="24" borderId="41" xfId="0" applyFont="1" applyFill="1" applyBorder="1" applyProtection="1">
      <alignment horizontal="left" vertical="top" wrapText="1" indent="1"/>
      <protection locked="0"/>
    </xf>
    <xf numFmtId="0" fontId="53" fillId="28" borderId="40" xfId="0" applyFont="1" applyFill="1" applyBorder="1" applyAlignment="1" applyProtection="1">
      <alignment horizontal="left" vertical="top" wrapText="1"/>
      <protection locked="0"/>
    </xf>
    <xf numFmtId="0" fontId="44" fillId="0" borderId="36" xfId="0" applyFont="1" applyBorder="1" applyAlignment="1" applyProtection="1">
      <alignment horizontal="left" vertical="top" wrapText="1"/>
      <protection locked="0"/>
    </xf>
    <xf numFmtId="0" fontId="44" fillId="0" borderId="36" xfId="0" applyFont="1" applyBorder="1" applyAlignment="1">
      <alignment horizontal="left" vertical="top" wrapText="1"/>
    </xf>
    <xf numFmtId="0" fontId="53" fillId="28" borderId="40" xfId="0" applyFont="1" applyFill="1" applyBorder="1" applyAlignment="1" applyProtection="1">
      <alignment horizontal="center" vertical="top" wrapText="1"/>
      <protection locked="0"/>
    </xf>
    <xf numFmtId="0" fontId="22" fillId="16" borderId="0" xfId="0" applyFont="1" applyFill="1" applyProtection="1">
      <alignment horizontal="left" vertical="top" wrapText="1" indent="1"/>
      <protection locked="0"/>
    </xf>
    <xf numFmtId="0" fontId="22" fillId="15" borderId="0" xfId="0" applyFont="1" applyFill="1" applyProtection="1">
      <alignment horizontal="left" vertical="top" wrapText="1" indent="1"/>
      <protection locked="0"/>
    </xf>
    <xf numFmtId="0" fontId="22" fillId="15" borderId="0" xfId="0" applyFont="1" applyFill="1" applyAlignment="1" applyProtection="1">
      <alignment horizontal="right" vertical="top" wrapText="1"/>
      <protection locked="0"/>
    </xf>
    <xf numFmtId="0" fontId="25" fillId="15" borderId="0" xfId="5" applyFont="1" applyFill="1" applyAlignment="1" applyProtection="1">
      <alignment horizontal="left" vertical="top"/>
      <protection locked="0"/>
    </xf>
    <xf numFmtId="0" fontId="25" fillId="15" borderId="0" xfId="5" applyFont="1" applyFill="1" applyAlignment="1" applyProtection="1">
      <alignment horizontal="left"/>
      <protection locked="0"/>
    </xf>
    <xf numFmtId="0" fontId="25" fillId="15" borderId="0" xfId="5" applyFont="1" applyFill="1" applyAlignment="1" applyProtection="1">
      <alignment horizontal="left" vertical="center"/>
      <protection locked="0"/>
    </xf>
    <xf numFmtId="0" fontId="10" fillId="8" borderId="0" xfId="0" applyFont="1" applyFill="1" applyProtection="1">
      <alignment horizontal="left" vertical="top" wrapText="1" indent="1"/>
      <protection locked="0"/>
    </xf>
    <xf numFmtId="0" fontId="14" fillId="7" borderId="0" xfId="5" applyFont="1" applyFill="1" applyAlignment="1" applyProtection="1">
      <alignment horizontal="left"/>
      <protection locked="0"/>
    </xf>
    <xf numFmtId="0" fontId="14" fillId="7" borderId="0" xfId="5" applyFont="1" applyFill="1" applyAlignment="1" applyProtection="1">
      <alignment horizontal="left" vertical="center"/>
      <protection locked="0"/>
    </xf>
    <xf numFmtId="0" fontId="0" fillId="7" borderId="0" xfId="0" applyFill="1" applyProtection="1">
      <alignment horizontal="left" vertical="top" wrapText="1" indent="1"/>
      <protection locked="0"/>
    </xf>
    <xf numFmtId="0" fontId="31" fillId="9" borderId="0" xfId="0" applyFont="1" applyFill="1" applyAlignment="1" applyProtection="1">
      <alignment horizontal="left" vertical="center" wrapText="1" indent="1"/>
      <protection locked="0"/>
    </xf>
    <xf numFmtId="0" fontId="31" fillId="9" borderId="0" xfId="0" applyFont="1" applyFill="1" applyProtection="1">
      <alignment horizontal="left" vertical="top" wrapText="1" indent="1"/>
      <protection locked="0"/>
    </xf>
    <xf numFmtId="0" fontId="31" fillId="5" borderId="0" xfId="0" applyFont="1" applyFill="1" applyProtection="1">
      <alignment horizontal="left" vertical="top" wrapText="1" indent="1"/>
      <protection locked="0"/>
    </xf>
    <xf numFmtId="0" fontId="33" fillId="5" borderId="0" xfId="5" applyFont="1" applyFill="1" applyAlignment="1" applyProtection="1">
      <alignment horizontal="left" vertical="top"/>
      <protection locked="0"/>
    </xf>
    <xf numFmtId="0" fontId="33" fillId="5" borderId="0" xfId="5" applyFont="1" applyFill="1" applyAlignment="1" applyProtection="1">
      <alignment horizontal="left" vertical="center"/>
      <protection locked="0"/>
    </xf>
    <xf numFmtId="0" fontId="34" fillId="5" borderId="0" xfId="5" applyFont="1" applyFill="1" applyAlignment="1" applyProtection="1">
      <alignment horizontal="left" vertical="top"/>
      <protection locked="0"/>
    </xf>
    <xf numFmtId="0" fontId="34" fillId="5" borderId="0" xfId="5" applyFont="1" applyFill="1" applyAlignment="1" applyProtection="1">
      <alignment horizontal="left"/>
      <protection locked="0"/>
    </xf>
    <xf numFmtId="0" fontId="34" fillId="5" borderId="0" xfId="5" applyFont="1" applyFill="1" applyAlignment="1" applyProtection="1">
      <alignment horizontal="left" vertical="center"/>
      <protection locked="0"/>
    </xf>
    <xf numFmtId="0" fontId="15" fillId="0" borderId="0" xfId="0" applyFont="1" applyProtection="1">
      <alignment horizontal="left" vertical="top" wrapText="1" indent="1"/>
      <protection locked="0"/>
    </xf>
    <xf numFmtId="0" fontId="10" fillId="10" borderId="0" xfId="0" applyFont="1" applyFill="1" applyProtection="1">
      <alignment horizontal="left" vertical="top" wrapText="1" indent="1"/>
      <protection locked="0"/>
    </xf>
    <xf numFmtId="0" fontId="16" fillId="11" borderId="0" xfId="0" applyFont="1" applyFill="1" applyProtection="1">
      <alignment horizontal="left" vertical="top" wrapText="1" indent="1"/>
      <protection locked="0"/>
    </xf>
    <xf numFmtId="0" fontId="18" fillId="11" borderId="0" xfId="5" applyFont="1" applyFill="1" applyAlignment="1" applyProtection="1">
      <alignment horizontal="left"/>
      <protection locked="0"/>
    </xf>
    <xf numFmtId="0" fontId="18" fillId="11" borderId="0" xfId="5" applyFont="1" applyFill="1" applyAlignment="1" applyProtection="1">
      <alignment horizontal="left" vertical="center"/>
      <protection locked="0"/>
    </xf>
    <xf numFmtId="0" fontId="0" fillId="11" borderId="0" xfId="0" applyFill="1" applyProtection="1">
      <alignment horizontal="left" vertical="top" wrapText="1" indent="1"/>
      <protection locked="0"/>
    </xf>
    <xf numFmtId="0" fontId="19" fillId="13" borderId="0" xfId="0" applyFont="1" applyFill="1" applyProtection="1">
      <alignment horizontal="left" vertical="top" wrapText="1" indent="1"/>
      <protection locked="0"/>
    </xf>
    <xf numFmtId="164" fontId="20" fillId="13" borderId="0" xfId="1" applyNumberFormat="1" applyFont="1" applyFill="1" applyAlignment="1" applyProtection="1">
      <alignment horizontal="left" vertical="center"/>
      <protection locked="0"/>
    </xf>
    <xf numFmtId="0" fontId="19" fillId="14" borderId="0" xfId="0" applyFont="1" applyFill="1" applyProtection="1">
      <alignment horizontal="left" vertical="top" wrapText="1" indent="1"/>
      <protection locked="0"/>
    </xf>
    <xf numFmtId="0" fontId="21" fillId="14" borderId="0" xfId="5" applyFont="1" applyFill="1" applyAlignment="1" applyProtection="1">
      <alignment horizontal="left"/>
      <protection locked="0"/>
    </xf>
    <xf numFmtId="0" fontId="21" fillId="14" borderId="0" xfId="5" applyFont="1" applyFill="1" applyAlignment="1" applyProtection="1">
      <alignment horizontal="left" vertical="center"/>
      <protection locked="0"/>
    </xf>
    <xf numFmtId="0" fontId="26" fillId="18" borderId="0" xfId="0" applyFont="1" applyFill="1" applyProtection="1">
      <alignment horizontal="left" vertical="top" wrapText="1" indent="1"/>
      <protection locked="0"/>
    </xf>
    <xf numFmtId="0" fontId="26" fillId="19" borderId="0" xfId="0" applyFont="1" applyFill="1" applyProtection="1">
      <alignment horizontal="left" vertical="top" wrapText="1" indent="1"/>
      <protection locked="0"/>
    </xf>
    <xf numFmtId="0" fontId="30" fillId="19" borderId="0" xfId="5" applyFont="1" applyFill="1" applyAlignment="1" applyProtection="1">
      <alignment horizontal="left"/>
      <protection locked="0"/>
    </xf>
    <xf numFmtId="0" fontId="30" fillId="19" borderId="0" xfId="5" applyFont="1" applyFill="1" applyAlignment="1" applyProtection="1">
      <alignment horizontal="left" vertical="center"/>
      <protection locked="0"/>
    </xf>
    <xf numFmtId="165" fontId="54" fillId="0" borderId="43" xfId="0" applyNumberFormat="1" applyFont="1" applyBorder="1" applyAlignment="1">
      <alignment horizontal="left" vertical="top" wrapText="1"/>
    </xf>
    <xf numFmtId="0" fontId="54" fillId="0" borderId="43" xfId="0" applyFont="1" applyBorder="1" applyAlignment="1">
      <alignment horizontal="center" vertical="top" wrapText="1"/>
    </xf>
    <xf numFmtId="0" fontId="46" fillId="29" borderId="18" xfId="11" applyFont="1" applyFill="1" applyBorder="1" applyAlignment="1">
      <alignment vertical="top" wrapText="1"/>
    </xf>
    <xf numFmtId="0" fontId="46" fillId="30" borderId="18" xfId="11" applyFont="1" applyFill="1" applyBorder="1" applyAlignment="1">
      <alignment vertical="top" wrapText="1"/>
    </xf>
    <xf numFmtId="0" fontId="55" fillId="16" borderId="0" xfId="7" applyFont="1" applyFill="1" applyAlignment="1" applyProtection="1">
      <alignment horizontal="left" vertical="center"/>
      <protection locked="0"/>
    </xf>
    <xf numFmtId="0" fontId="56" fillId="16" borderId="0" xfId="7" applyFont="1" applyFill="1" applyAlignment="1" applyProtection="1">
      <alignment horizontal="left" vertical="center"/>
      <protection locked="0"/>
    </xf>
    <xf numFmtId="14" fontId="55" fillId="16" borderId="0" xfId="7" applyNumberFormat="1" applyFont="1" applyFill="1" applyAlignment="1" applyProtection="1">
      <alignment horizontal="left" vertical="center"/>
      <protection locked="0"/>
    </xf>
    <xf numFmtId="0" fontId="0" fillId="31" borderId="0" xfId="0" applyFill="1" applyAlignment="1">
      <alignment horizontal="left" vertical="center" wrapText="1"/>
    </xf>
    <xf numFmtId="0" fontId="0" fillId="31" borderId="0" xfId="0" applyFill="1" applyAlignment="1" applyProtection="1">
      <alignment horizontal="left" vertical="center" wrapText="1"/>
      <protection locked="0"/>
    </xf>
    <xf numFmtId="0" fontId="0" fillId="31" borderId="0" xfId="0" applyFill="1" applyAlignment="1">
      <alignment horizontal="center" vertical="center" wrapText="1"/>
    </xf>
    <xf numFmtId="0" fontId="53" fillId="28" borderId="36" xfId="0" applyFont="1" applyFill="1" applyBorder="1" applyAlignment="1">
      <alignment horizontal="left" vertical="top" wrapText="1"/>
    </xf>
    <xf numFmtId="0" fontId="37" fillId="11" borderId="0" xfId="0" applyFont="1" applyFill="1">
      <alignment horizontal="left" vertical="top" wrapText="1" indent="1"/>
    </xf>
    <xf numFmtId="0" fontId="37" fillId="5" borderId="0" xfId="0" applyFont="1" applyFill="1">
      <alignment horizontal="left" vertical="top" wrapText="1" indent="1"/>
    </xf>
    <xf numFmtId="0" fontId="10" fillId="7" borderId="0" xfId="0" applyFont="1" applyFill="1" applyAlignment="1" applyProtection="1">
      <alignment vertical="top" wrapText="1"/>
      <protection locked="0"/>
    </xf>
    <xf numFmtId="0" fontId="60" fillId="7" borderId="0" xfId="0" applyFont="1" applyFill="1" applyAlignment="1" applyProtection="1">
      <alignment vertical="top" wrapText="1"/>
      <protection locked="0"/>
    </xf>
    <xf numFmtId="0" fontId="62" fillId="8" borderId="0" xfId="0" applyFont="1" applyFill="1" applyProtection="1">
      <alignment horizontal="left" vertical="top" wrapText="1" indent="1"/>
      <protection locked="0"/>
    </xf>
    <xf numFmtId="164" fontId="55" fillId="16" borderId="0" xfId="1" applyNumberFormat="1" applyFont="1" applyFill="1" applyAlignment="1" applyProtection="1">
      <alignment horizontal="left" vertical="center"/>
      <protection locked="0"/>
    </xf>
    <xf numFmtId="164" fontId="59" fillId="9" borderId="0" xfId="1" applyNumberFormat="1" applyFont="1" applyFill="1" applyAlignment="1" applyProtection="1">
      <alignment horizontal="left" vertical="center"/>
      <protection locked="0"/>
    </xf>
    <xf numFmtId="0" fontId="57" fillId="8" borderId="0" xfId="0" applyFont="1" applyFill="1">
      <alignment horizontal="left" vertical="top" wrapText="1" indent="1"/>
    </xf>
    <xf numFmtId="0" fontId="63" fillId="7" borderId="0" xfId="0" applyFont="1" applyFill="1" applyAlignment="1">
      <alignment horizontal="right" vertical="top" wrapText="1"/>
    </xf>
    <xf numFmtId="0" fontId="57" fillId="7" borderId="0" xfId="0" applyFont="1" applyFill="1">
      <alignment horizontal="left" vertical="top" wrapText="1" indent="1"/>
    </xf>
    <xf numFmtId="0" fontId="57" fillId="0" borderId="0" xfId="0" applyFont="1">
      <alignment horizontal="left" vertical="top" wrapText="1" indent="1"/>
    </xf>
    <xf numFmtId="0" fontId="44" fillId="0" borderId="0" xfId="0" applyFont="1" applyAlignment="1">
      <alignment vertical="top"/>
    </xf>
    <xf numFmtId="0" fontId="44" fillId="0" borderId="0" xfId="0" applyFont="1" applyAlignment="1">
      <alignment horizontal="left" vertical="top"/>
    </xf>
    <xf numFmtId="164" fontId="64" fillId="10" borderId="0" xfId="1" applyNumberFormat="1" applyFont="1" applyFill="1" applyAlignment="1" applyProtection="1">
      <alignment vertical="center"/>
      <protection locked="0"/>
    </xf>
    <xf numFmtId="164" fontId="64" fillId="10" borderId="0" xfId="1" applyNumberFormat="1" applyFont="1" applyFill="1" applyProtection="1">
      <alignment horizontal="left" vertical="top"/>
      <protection locked="0"/>
    </xf>
    <xf numFmtId="164" fontId="64" fillId="10" borderId="0" xfId="1" applyNumberFormat="1" applyFont="1" applyFill="1" applyAlignment="1" applyProtection="1">
      <alignment vertical="center" wrapText="1"/>
      <protection locked="0"/>
    </xf>
    <xf numFmtId="0" fontId="19" fillId="13" borderId="0" xfId="0" applyFont="1" applyFill="1" applyAlignment="1">
      <alignment horizontal="center" vertical="center" wrapText="1"/>
    </xf>
    <xf numFmtId="0" fontId="19" fillId="13" borderId="0" xfId="0" applyFont="1" applyFill="1" applyAlignment="1">
      <alignment horizontal="left" vertical="center" wrapText="1" indent="1"/>
    </xf>
    <xf numFmtId="0" fontId="26" fillId="18" borderId="0" xfId="0" applyFont="1" applyFill="1" applyAlignment="1" applyProtection="1">
      <alignment horizontal="left" vertical="center" wrapText="1" indent="1"/>
      <protection locked="0"/>
    </xf>
    <xf numFmtId="0" fontId="66" fillId="19" borderId="0" xfId="0" applyFont="1" applyFill="1" applyAlignment="1" applyProtection="1">
      <alignment vertical="top" wrapText="1"/>
      <protection locked="0"/>
    </xf>
    <xf numFmtId="0" fontId="22" fillId="19" borderId="45" xfId="0" applyFont="1" applyFill="1" applyBorder="1">
      <alignment horizontal="left" vertical="top" wrapText="1" indent="1"/>
    </xf>
    <xf numFmtId="0" fontId="29" fillId="19" borderId="46" xfId="5" applyFont="1" applyFill="1" applyBorder="1" applyAlignment="1" applyProtection="1">
      <alignment horizontal="left" vertical="top"/>
      <protection locked="0"/>
    </xf>
    <xf numFmtId="0" fontId="22" fillId="19" borderId="47" xfId="0" applyFont="1" applyFill="1" applyBorder="1">
      <alignment horizontal="left" vertical="top" wrapText="1" indent="1"/>
    </xf>
    <xf numFmtId="0" fontId="29" fillId="19" borderId="48" xfId="5" applyFont="1" applyFill="1" applyBorder="1" applyAlignment="1" applyProtection="1">
      <alignment horizontal="left" vertical="center"/>
      <protection locked="0"/>
    </xf>
    <xf numFmtId="0" fontId="26" fillId="19" borderId="48" xfId="0" applyFont="1" applyFill="1" applyBorder="1" applyProtection="1">
      <alignment horizontal="left" vertical="top" wrapText="1" indent="1"/>
      <protection locked="0"/>
    </xf>
    <xf numFmtId="0" fontId="22" fillId="19" borderId="47" xfId="0" applyFont="1" applyFill="1" applyBorder="1" applyAlignment="1">
      <alignment horizontal="right" vertical="top" wrapText="1" indent="1"/>
    </xf>
    <xf numFmtId="0" fontId="22" fillId="19" borderId="49" xfId="0" applyFont="1" applyFill="1" applyBorder="1" applyAlignment="1">
      <alignment horizontal="right" vertical="top" wrapText="1"/>
    </xf>
    <xf numFmtId="0" fontId="30" fillId="19" borderId="50" xfId="5" applyFont="1" applyFill="1" applyBorder="1" applyAlignment="1" applyProtection="1">
      <alignment horizontal="left" vertical="top"/>
      <protection locked="0"/>
    </xf>
    <xf numFmtId="0" fontId="22" fillId="16" borderId="0" xfId="0" applyFont="1" applyFill="1" applyAlignment="1" applyProtection="1">
      <alignment horizontal="left" vertical="center" wrapText="1"/>
      <protection locked="0"/>
    </xf>
    <xf numFmtId="0" fontId="22" fillId="16" borderId="0" xfId="0" applyFont="1" applyFill="1" applyAlignment="1" applyProtection="1">
      <alignment vertical="center" wrapText="1"/>
      <protection locked="0"/>
    </xf>
    <xf numFmtId="0" fontId="10" fillId="8" borderId="0" xfId="0" applyFont="1" applyFill="1" applyAlignment="1" applyProtection="1">
      <alignment horizontal="center" vertical="center" wrapText="1"/>
      <protection locked="0"/>
    </xf>
    <xf numFmtId="0" fontId="0" fillId="9" borderId="0" xfId="0" applyFill="1" applyAlignment="1">
      <alignment horizontal="left" vertical="center" wrapText="1" indent="1"/>
    </xf>
    <xf numFmtId="0" fontId="10" fillId="8" borderId="0" xfId="0" applyFont="1" applyFill="1" applyAlignment="1" applyProtection="1">
      <alignment horizontal="left" vertical="center" wrapText="1" indent="1"/>
      <protection locked="0"/>
    </xf>
    <xf numFmtId="0" fontId="67" fillId="17" borderId="34" xfId="0" applyFont="1" applyFill="1" applyBorder="1" applyAlignment="1">
      <alignment horizontal="center" vertical="top" wrapText="1"/>
    </xf>
    <xf numFmtId="14" fontId="58" fillId="9" borderId="0" xfId="7" applyNumberFormat="1" applyFont="1" applyFill="1" applyAlignment="1" applyProtection="1">
      <alignment horizontal="left" vertical="center"/>
      <protection locked="0"/>
    </xf>
    <xf numFmtId="0" fontId="48" fillId="30" borderId="22" xfId="11" applyFont="1" applyFill="1" applyBorder="1" applyAlignment="1">
      <alignment vertical="top" wrapText="1"/>
    </xf>
    <xf numFmtId="0" fontId="51" fillId="30" borderId="9" xfId="11" applyFont="1" applyFill="1" applyBorder="1" applyAlignment="1">
      <alignment horizontal="left" vertical="top" wrapText="1"/>
    </xf>
    <xf numFmtId="0" fontId="51" fillId="30" borderId="9" xfId="11" applyFont="1" applyFill="1" applyBorder="1">
      <alignment horizontal="left" vertical="top" wrapText="1" indent="1"/>
    </xf>
    <xf numFmtId="14" fontId="26" fillId="18" borderId="0" xfId="0" applyNumberFormat="1" applyFont="1" applyFill="1" applyProtection="1">
      <alignment horizontal="left" vertical="top" wrapText="1" indent="1"/>
      <protection locked="0"/>
    </xf>
    <xf numFmtId="0" fontId="52" fillId="30" borderId="21" xfId="11" applyFont="1" applyFill="1" applyBorder="1" applyAlignment="1">
      <alignment vertical="top" wrapText="1"/>
    </xf>
    <xf numFmtId="14" fontId="19" fillId="13" borderId="0" xfId="0" applyNumberFormat="1" applyFont="1" applyFill="1">
      <alignment horizontal="left" vertical="top" wrapText="1" indent="1"/>
    </xf>
    <xf numFmtId="0" fontId="50" fillId="30" borderId="11" xfId="11" applyFont="1" applyFill="1" applyBorder="1" applyAlignment="1">
      <alignment vertical="top" wrapText="1"/>
    </xf>
    <xf numFmtId="0" fontId="52" fillId="30" borderId="21" xfId="11" applyFont="1" applyFill="1" applyBorder="1" applyAlignment="1">
      <alignment horizontal="left" vertical="top" wrapText="1"/>
    </xf>
    <xf numFmtId="0" fontId="54" fillId="0" borderId="43" xfId="0" applyFont="1" applyBorder="1" applyAlignment="1">
      <alignment horizontal="left" vertical="top" wrapText="1"/>
    </xf>
    <xf numFmtId="0" fontId="69" fillId="23" borderId="51" xfId="0" applyFont="1" applyFill="1" applyBorder="1" applyAlignment="1">
      <alignment horizontal="centerContinuous" vertical="center"/>
    </xf>
    <xf numFmtId="0" fontId="69" fillId="23" borderId="52" xfId="0" applyFont="1" applyFill="1" applyBorder="1" applyAlignment="1">
      <alignment horizontal="centerContinuous" vertical="center"/>
    </xf>
    <xf numFmtId="0" fontId="69" fillId="23" borderId="53" xfId="0" applyFont="1" applyFill="1" applyBorder="1" applyAlignment="1">
      <alignment horizontal="left" vertical="center"/>
    </xf>
    <xf numFmtId="0" fontId="69" fillId="23" borderId="55" xfId="0" applyFont="1" applyFill="1" applyBorder="1" applyAlignment="1">
      <alignment horizontal="center" vertical="center" wrapText="1"/>
    </xf>
    <xf numFmtId="0" fontId="70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>
      <alignment vertical="top" wrapText="1"/>
    </xf>
    <xf numFmtId="0" fontId="0" fillId="24" borderId="0" xfId="0" applyFill="1" applyAlignment="1">
      <alignment horizontal="centerContinuous" vertical="center" wrapText="1"/>
    </xf>
    <xf numFmtId="0" fontId="44" fillId="0" borderId="0" xfId="0" applyFont="1" applyAlignment="1">
      <alignment horizontal="center" vertical="top" wrapText="1"/>
    </xf>
    <xf numFmtId="0" fontId="44" fillId="17" borderId="34" xfId="0" applyFont="1" applyFill="1" applyBorder="1" applyAlignment="1">
      <alignment horizontal="center" vertical="top" wrapText="1"/>
    </xf>
    <xf numFmtId="0" fontId="44" fillId="0" borderId="0" xfId="0" applyFont="1" applyAlignment="1">
      <alignment vertical="top" wrapText="1"/>
    </xf>
    <xf numFmtId="0" fontId="44" fillId="17" borderId="34" xfId="0" applyFont="1" applyFill="1" applyBorder="1" applyAlignment="1">
      <alignment vertical="top" wrapText="1"/>
    </xf>
    <xf numFmtId="0" fontId="0" fillId="17" borderId="34" xfId="0" applyFill="1" applyBorder="1" applyAlignment="1">
      <alignment horizontal="centerContinuous" vertical="top" wrapText="1"/>
    </xf>
    <xf numFmtId="0" fontId="49" fillId="2" borderId="34" xfId="0" applyFont="1" applyFill="1" applyBorder="1" applyAlignment="1"/>
    <xf numFmtId="0" fontId="44" fillId="2" borderId="34" xfId="0" applyFont="1" applyFill="1" applyBorder="1" applyAlignment="1">
      <alignment vertical="top" wrapText="1"/>
    </xf>
    <xf numFmtId="0" fontId="44" fillId="2" borderId="34" xfId="0" applyFont="1" applyFill="1" applyBorder="1" applyAlignment="1">
      <alignment horizontal="center" vertical="top" wrapText="1"/>
    </xf>
    <xf numFmtId="0" fontId="0" fillId="2" borderId="34" xfId="0" applyFill="1" applyBorder="1" applyAlignment="1">
      <alignment horizontal="centerContinuous" vertical="top" wrapText="1"/>
    </xf>
    <xf numFmtId="0" fontId="67" fillId="2" borderId="55" xfId="0" applyFont="1" applyFill="1" applyBorder="1" applyAlignment="1">
      <alignment horizontal="center" vertical="top" wrapText="1"/>
    </xf>
    <xf numFmtId="0" fontId="0" fillId="32" borderId="34" xfId="0" applyFill="1" applyBorder="1" applyAlignment="1">
      <alignment horizontal="centerContinuous" vertical="top" wrapText="1"/>
    </xf>
    <xf numFmtId="0" fontId="49" fillId="32" borderId="34" xfId="0" applyFont="1" applyFill="1" applyBorder="1" applyAlignment="1"/>
    <xf numFmtId="0" fontId="44" fillId="32" borderId="34" xfId="0" applyFont="1" applyFill="1" applyBorder="1" applyAlignment="1">
      <alignment vertical="top" wrapText="1"/>
    </xf>
    <xf numFmtId="0" fontId="44" fillId="32" borderId="34" xfId="0" applyFont="1" applyFill="1" applyBorder="1" applyAlignment="1">
      <alignment horizontal="center" vertical="top" wrapText="1"/>
    </xf>
    <xf numFmtId="0" fontId="67" fillId="32" borderId="55" xfId="0" applyFont="1" applyFill="1" applyBorder="1" applyAlignment="1">
      <alignment horizontal="center" vertical="top" wrapText="1"/>
    </xf>
    <xf numFmtId="0" fontId="54" fillId="0" borderId="35" xfId="0" applyFont="1" applyBorder="1" applyAlignment="1"/>
    <xf numFmtId="0" fontId="69" fillId="23" borderId="57" xfId="0" applyFont="1" applyFill="1" applyBorder="1" applyAlignment="1">
      <alignment horizontal="center" vertical="center" wrapText="1"/>
    </xf>
    <xf numFmtId="0" fontId="1" fillId="0" borderId="0" xfId="21"/>
    <xf numFmtId="0" fontId="71" fillId="23" borderId="51" xfId="21" applyFont="1" applyFill="1" applyBorder="1" applyAlignment="1">
      <alignment horizontal="centerContinuous" vertical="center"/>
    </xf>
    <xf numFmtId="0" fontId="71" fillId="23" borderId="52" xfId="21" applyFont="1" applyFill="1" applyBorder="1" applyAlignment="1">
      <alignment horizontal="centerContinuous" vertical="center"/>
    </xf>
    <xf numFmtId="0" fontId="71" fillId="23" borderId="58" xfId="21" applyFont="1" applyFill="1" applyBorder="1" applyAlignment="1">
      <alignment horizontal="centerContinuous" vertical="center"/>
    </xf>
    <xf numFmtId="0" fontId="72" fillId="33" borderId="59" xfId="21" applyFont="1" applyFill="1" applyBorder="1" applyAlignment="1">
      <alignment horizontal="left" vertical="center"/>
    </xf>
    <xf numFmtId="0" fontId="71" fillId="34" borderId="53" xfId="21" applyFont="1" applyFill="1" applyBorder="1" applyAlignment="1">
      <alignment horizontal="left" vertical="center"/>
    </xf>
    <xf numFmtId="0" fontId="71" fillId="23" borderId="53" xfId="21" applyFont="1" applyFill="1" applyBorder="1" applyAlignment="1">
      <alignment horizontal="left" vertical="center"/>
    </xf>
    <xf numFmtId="0" fontId="71" fillId="23" borderId="54" xfId="21" applyFont="1" applyFill="1" applyBorder="1" applyAlignment="1">
      <alignment horizontal="center" vertical="center" wrapText="1"/>
    </xf>
    <xf numFmtId="0" fontId="71" fillId="23" borderId="34" xfId="21" applyFont="1" applyFill="1" applyBorder="1" applyAlignment="1">
      <alignment horizontal="center" vertical="center" wrapText="1"/>
    </xf>
    <xf numFmtId="0" fontId="72" fillId="23" borderId="59" xfId="21" applyFont="1" applyFill="1" applyBorder="1" applyAlignment="1">
      <alignment horizontal="left" vertical="center"/>
    </xf>
    <xf numFmtId="0" fontId="73" fillId="32" borderId="60" xfId="0" applyFont="1" applyFill="1" applyBorder="1" applyAlignment="1">
      <alignment horizontal="centerContinuous" vertical="center" wrapText="1"/>
    </xf>
    <xf numFmtId="0" fontId="73" fillId="32" borderId="61" xfId="0" applyFont="1" applyFill="1" applyBorder="1" applyAlignment="1">
      <alignment horizontal="centerContinuous" vertical="center" wrapText="1"/>
    </xf>
    <xf numFmtId="0" fontId="73" fillId="32" borderId="62" xfId="0" applyFont="1" applyFill="1" applyBorder="1" applyAlignment="1">
      <alignment horizontal="centerContinuous" vertical="center" wrapText="1"/>
    </xf>
    <xf numFmtId="0" fontId="0" fillId="32" borderId="63" xfId="0" applyFill="1" applyBorder="1" applyAlignment="1">
      <alignment horizontal="centerContinuous" vertical="center" wrapText="1"/>
    </xf>
    <xf numFmtId="0" fontId="73" fillId="35" borderId="60" xfId="0" applyFont="1" applyFill="1" applyBorder="1" applyAlignment="1">
      <alignment horizontal="centerContinuous" vertical="center" wrapText="1"/>
    </xf>
    <xf numFmtId="0" fontId="73" fillId="35" borderId="61" xfId="0" applyFont="1" applyFill="1" applyBorder="1" applyAlignment="1">
      <alignment horizontal="centerContinuous" vertical="center" wrapText="1"/>
    </xf>
    <xf numFmtId="0" fontId="0" fillId="35" borderId="61" xfId="0" applyFill="1" applyBorder="1" applyAlignment="1">
      <alignment horizontal="centerContinuous" vertical="center" wrapText="1"/>
    </xf>
    <xf numFmtId="0" fontId="73" fillId="35" borderId="62" xfId="0" applyFont="1" applyFill="1" applyBorder="1" applyAlignment="1">
      <alignment horizontal="centerContinuous" vertical="center" wrapText="1"/>
    </xf>
    <xf numFmtId="0" fontId="69" fillId="36" borderId="54" xfId="0" applyFont="1" applyFill="1" applyBorder="1" applyAlignment="1">
      <alignment horizontal="center" vertical="center" wrapText="1"/>
    </xf>
    <xf numFmtId="0" fontId="69" fillId="36" borderId="34" xfId="0" applyFont="1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Continuous" vertical="top"/>
    </xf>
    <xf numFmtId="0" fontId="44" fillId="17" borderId="34" xfId="0" applyFont="1" applyFill="1" applyBorder="1" applyAlignment="1">
      <alignment vertical="top"/>
    </xf>
    <xf numFmtId="14" fontId="44" fillId="17" borderId="34" xfId="0" applyNumberFormat="1" applyFont="1" applyFill="1" applyBorder="1" applyAlignment="1">
      <alignment horizontal="center" vertical="top" wrapText="1"/>
    </xf>
    <xf numFmtId="0" fontId="74" fillId="6" borderId="2" xfId="11" applyFont="1" applyFill="1" applyBorder="1" applyAlignment="1">
      <alignment vertical="top" wrapText="1"/>
    </xf>
    <xf numFmtId="0" fontId="74" fillId="6" borderId="3" xfId="11" applyFont="1" applyFill="1" applyBorder="1" applyAlignment="1">
      <alignment horizontal="left" vertical="center" wrapText="1" indent="1"/>
    </xf>
    <xf numFmtId="0" fontId="75" fillId="0" borderId="45" xfId="0" applyFont="1" applyBorder="1" applyAlignment="1">
      <alignment horizontal="centerContinuous" vertical="top" wrapText="1"/>
    </xf>
    <xf numFmtId="0" fontId="76" fillId="23" borderId="64" xfId="0" applyFont="1" applyFill="1" applyBorder="1" applyAlignment="1" applyProtection="1">
      <alignment horizontal="center" vertical="center" wrapText="1"/>
      <protection locked="0"/>
    </xf>
    <xf numFmtId="0" fontId="0" fillId="31" borderId="65" xfId="0" applyFill="1" applyBorder="1" applyAlignment="1">
      <alignment horizontal="left" vertical="center" wrapText="1"/>
    </xf>
    <xf numFmtId="0" fontId="73" fillId="0" borderId="45" xfId="0" applyFont="1" applyBorder="1" applyAlignment="1">
      <alignment horizontal="centerContinuous" vertical="top" wrapText="1"/>
    </xf>
    <xf numFmtId="0" fontId="73" fillId="0" borderId="65" xfId="0" applyFont="1" applyBorder="1" applyAlignment="1">
      <alignment horizontal="centerContinuous" vertical="top" wrapText="1"/>
    </xf>
    <xf numFmtId="0" fontId="73" fillId="0" borderId="46" xfId="0" applyFont="1" applyBorder="1" applyAlignment="1">
      <alignment horizontal="centerContinuous" vertical="top" wrapText="1"/>
    </xf>
    <xf numFmtId="0" fontId="70" fillId="0" borderId="45" xfId="0" applyFont="1" applyBorder="1" applyAlignment="1">
      <alignment horizontal="centerContinuous" vertical="top" wrapText="1"/>
    </xf>
    <xf numFmtId="16" fontId="44" fillId="17" borderId="34" xfId="0" applyNumberFormat="1" applyFont="1" applyFill="1" applyBorder="1" applyAlignment="1">
      <alignment horizontal="center" vertical="top" wrapText="1"/>
    </xf>
    <xf numFmtId="0" fontId="71" fillId="23" borderId="34" xfId="21" applyFont="1" applyFill="1" applyBorder="1" applyAlignment="1">
      <alignment horizontal="center" vertical="center"/>
    </xf>
    <xf numFmtId="0" fontId="69" fillId="36" borderId="41" xfId="0" applyFont="1" applyFill="1" applyBorder="1" applyAlignment="1">
      <alignment horizontal="center" vertical="center"/>
    </xf>
    <xf numFmtId="0" fontId="69" fillId="36" borderId="34" xfId="0" applyFont="1" applyFill="1" applyBorder="1" applyAlignment="1">
      <alignment horizontal="center" vertical="center"/>
    </xf>
    <xf numFmtId="0" fontId="0" fillId="17" borderId="25" xfId="0" applyFill="1" applyBorder="1" applyAlignment="1">
      <alignment horizontal="left" vertical="center" wrapText="1" indent="2"/>
    </xf>
    <xf numFmtId="0" fontId="22" fillId="15" borderId="45" xfId="0" applyFont="1" applyFill="1" applyBorder="1" applyAlignment="1" applyProtection="1">
      <alignment horizontal="left" vertical="top" wrapText="1"/>
      <protection locked="0"/>
    </xf>
    <xf numFmtId="0" fontId="22" fillId="15" borderId="46" xfId="0" applyFont="1" applyFill="1" applyBorder="1" applyAlignment="1" applyProtection="1">
      <alignment horizontal="left" vertical="top" wrapText="1"/>
      <protection locked="0"/>
    </xf>
    <xf numFmtId="0" fontId="22" fillId="15" borderId="47" xfId="0" applyFont="1" applyFill="1" applyBorder="1" applyAlignment="1" applyProtection="1">
      <alignment horizontal="left" vertical="top" wrapText="1"/>
      <protection locked="0"/>
    </xf>
    <xf numFmtId="0" fontId="22" fillId="15" borderId="48" xfId="0" applyFont="1" applyFill="1" applyBorder="1" applyAlignment="1" applyProtection="1">
      <alignment horizontal="left" vertical="top" wrapText="1"/>
      <protection locked="0"/>
    </xf>
    <xf numFmtId="0" fontId="22" fillId="15" borderId="49" xfId="0" applyFont="1" applyFill="1" applyBorder="1" applyAlignment="1" applyProtection="1">
      <alignment horizontal="left" vertical="top" wrapText="1"/>
      <protection locked="0"/>
    </xf>
    <xf numFmtId="0" fontId="22" fillId="15" borderId="50" xfId="0" applyFont="1" applyFill="1" applyBorder="1" applyAlignment="1" applyProtection="1">
      <alignment horizontal="left" vertical="top" wrapText="1"/>
      <protection locked="0"/>
    </xf>
    <xf numFmtId="0" fontId="61" fillId="15" borderId="0" xfId="0" applyFont="1" applyFill="1" applyAlignment="1" applyProtection="1">
      <alignment horizontal="left" vertical="top" wrapText="1"/>
      <protection locked="0"/>
    </xf>
    <xf numFmtId="0" fontId="23" fillId="16" borderId="0" xfId="1" applyNumberFormat="1" applyFont="1" applyFill="1" applyAlignment="1" applyProtection="1">
      <alignment horizontal="left" vertical="center"/>
      <protection locked="0"/>
    </xf>
    <xf numFmtId="0" fontId="0" fillId="7" borderId="45" xfId="0" applyFill="1" applyBorder="1" applyAlignment="1">
      <alignment horizontal="left" vertical="top" wrapText="1"/>
    </xf>
    <xf numFmtId="0" fontId="0" fillId="7" borderId="46" xfId="0" applyFill="1" applyBorder="1" applyAlignment="1">
      <alignment horizontal="left" vertical="top" wrapText="1"/>
    </xf>
    <xf numFmtId="0" fontId="0" fillId="7" borderId="47" xfId="0" applyFill="1" applyBorder="1" applyAlignment="1">
      <alignment horizontal="left" vertical="top" wrapText="1"/>
    </xf>
    <xf numFmtId="0" fontId="0" fillId="7" borderId="48" xfId="0" applyFill="1" applyBorder="1" applyAlignment="1">
      <alignment horizontal="left" vertical="top" wrapText="1"/>
    </xf>
    <xf numFmtId="0" fontId="0" fillId="7" borderId="49" xfId="0" applyFill="1" applyBorder="1" applyAlignment="1">
      <alignment horizontal="left" vertical="top" wrapText="1"/>
    </xf>
    <xf numFmtId="0" fontId="0" fillId="7" borderId="50" xfId="0" applyFill="1" applyBorder="1" applyAlignment="1">
      <alignment horizontal="left" vertical="top" wrapText="1"/>
    </xf>
    <xf numFmtId="0" fontId="12" fillId="8" borderId="0" xfId="7" applyFont="1" applyFill="1" applyAlignment="1" applyProtection="1">
      <alignment horizontal="left" vertical="center"/>
      <protection locked="0"/>
    </xf>
    <xf numFmtId="0" fontId="0" fillId="5" borderId="45" xfId="0" applyFill="1" applyBorder="1" applyAlignment="1">
      <alignment horizontal="center" vertical="top" wrapText="1"/>
    </xf>
    <xf numFmtId="0" fontId="0" fillId="5" borderId="46" xfId="0" applyFill="1" applyBorder="1" applyAlignment="1">
      <alignment horizontal="center" vertical="top" wrapText="1"/>
    </xf>
    <xf numFmtId="0" fontId="0" fillId="5" borderId="47" xfId="0" applyFill="1" applyBorder="1" applyAlignment="1">
      <alignment horizontal="center" vertical="top" wrapText="1"/>
    </xf>
    <xf numFmtId="0" fontId="0" fillId="5" borderId="48" xfId="0" applyFill="1" applyBorder="1" applyAlignment="1">
      <alignment horizontal="center" vertical="top" wrapText="1"/>
    </xf>
    <xf numFmtId="0" fontId="0" fillId="5" borderId="49" xfId="0" applyFill="1" applyBorder="1" applyAlignment="1">
      <alignment horizontal="center" vertical="top" wrapText="1"/>
    </xf>
    <xf numFmtId="0" fontId="0" fillId="5" borderId="50" xfId="0" applyFill="1" applyBorder="1" applyAlignment="1">
      <alignment horizontal="center" vertical="top" wrapText="1"/>
    </xf>
    <xf numFmtId="164" fontId="32" fillId="9" borderId="0" xfId="1" applyNumberFormat="1" applyFont="1" applyFill="1" applyAlignment="1" applyProtection="1">
      <alignment horizontal="left" vertical="center"/>
      <protection locked="0"/>
    </xf>
    <xf numFmtId="0" fontId="0" fillId="11" borderId="45" xfId="0" applyFill="1" applyBorder="1" applyAlignment="1">
      <alignment horizontal="center" vertical="top" wrapText="1"/>
    </xf>
    <xf numFmtId="0" fontId="0" fillId="11" borderId="46" xfId="0" applyFill="1" applyBorder="1" applyAlignment="1">
      <alignment horizontal="center" vertical="top" wrapText="1"/>
    </xf>
    <xf numFmtId="0" fontId="0" fillId="11" borderId="47" xfId="0" applyFill="1" applyBorder="1" applyAlignment="1">
      <alignment horizontal="center" vertical="top" wrapText="1"/>
    </xf>
    <xf numFmtId="0" fontId="0" fillId="11" borderId="48" xfId="0" applyFill="1" applyBorder="1" applyAlignment="1">
      <alignment horizontal="center" vertical="top" wrapText="1"/>
    </xf>
    <xf numFmtId="0" fontId="0" fillId="11" borderId="49" xfId="0" applyFill="1" applyBorder="1" applyAlignment="1">
      <alignment horizontal="center" vertical="top" wrapText="1"/>
    </xf>
    <xf numFmtId="0" fontId="0" fillId="11" borderId="50" xfId="0" applyFill="1" applyBorder="1" applyAlignment="1">
      <alignment horizontal="center" vertical="top" wrapText="1"/>
    </xf>
    <xf numFmtId="164" fontId="17" fillId="10" borderId="0" xfId="1" applyNumberFormat="1" applyFont="1" applyFill="1" applyAlignment="1" applyProtection="1">
      <alignment horizontal="left" vertical="center"/>
      <protection locked="0"/>
    </xf>
    <xf numFmtId="164" fontId="20" fillId="13" borderId="0" xfId="1" applyNumberFormat="1" applyFont="1" applyFill="1" applyAlignment="1" applyProtection="1">
      <alignment horizontal="left" vertical="center"/>
      <protection locked="0"/>
    </xf>
    <xf numFmtId="0" fontId="65" fillId="14" borderId="0" xfId="0" applyFont="1" applyFill="1" applyAlignment="1">
      <alignment horizontal="left" vertical="top" wrapText="1"/>
    </xf>
    <xf numFmtId="0" fontId="19" fillId="14" borderId="45" xfId="0" applyFont="1" applyFill="1" applyBorder="1" applyAlignment="1">
      <alignment horizontal="center" vertical="top" wrapText="1"/>
    </xf>
    <xf numFmtId="0" fontId="19" fillId="14" borderId="46" xfId="0" applyFont="1" applyFill="1" applyBorder="1" applyAlignment="1">
      <alignment horizontal="center" vertical="top" wrapText="1"/>
    </xf>
    <xf numFmtId="0" fontId="19" fillId="14" borderId="47" xfId="0" applyFont="1" applyFill="1" applyBorder="1" applyAlignment="1">
      <alignment horizontal="center" vertical="top" wrapText="1"/>
    </xf>
    <xf numFmtId="0" fontId="19" fillId="14" borderId="48" xfId="0" applyFont="1" applyFill="1" applyBorder="1" applyAlignment="1">
      <alignment horizontal="center" vertical="top" wrapText="1"/>
    </xf>
    <xf numFmtId="0" fontId="19" fillId="14" borderId="49" xfId="0" applyFont="1" applyFill="1" applyBorder="1" applyAlignment="1">
      <alignment horizontal="center" vertical="top" wrapText="1"/>
    </xf>
    <xf numFmtId="0" fontId="19" fillId="14" borderId="50" xfId="0" applyFont="1" applyFill="1" applyBorder="1" applyAlignment="1">
      <alignment horizontal="center" vertical="top" wrapText="1"/>
    </xf>
    <xf numFmtId="164" fontId="27" fillId="18" borderId="0" xfId="1" applyNumberFormat="1" applyFont="1" applyFill="1" applyAlignment="1" applyProtection="1">
      <alignment horizontal="left" vertical="center"/>
      <protection locked="0"/>
    </xf>
    <xf numFmtId="0" fontId="16" fillId="11" borderId="56" xfId="0" applyFont="1" applyFill="1" applyBorder="1" applyAlignment="1" applyProtection="1">
      <alignment horizontal="left" vertical="top" wrapText="1"/>
      <protection locked="0"/>
    </xf>
  </cellXfs>
  <cellStyles count="22">
    <cellStyle name="Calendar details" xfId="11" xr:uid="{00000000-0005-0000-0000-000000000000}"/>
    <cellStyle name="Day" xfId="17" xr:uid="{03FBA1F5-B43A-409F-A3D4-47735C7E6872}"/>
    <cellStyle name="Entry Fields" xfId="10" xr:uid="{00000000-0005-0000-0000-000001000000}"/>
    <cellStyle name="Explanatory Text" xfId="9" builtinId="53" customBuiltin="1"/>
    <cellStyle name="Explanatory Text 2" xfId="20" xr:uid="{181AC30D-66B9-4DFA-A29F-54F32DE82ECD}"/>
    <cellStyle name="Followed Hyperlink" xfId="8" builtinId="9" customBuiltin="1"/>
    <cellStyle name="Heading 1" xfId="2" builtinId="16" customBuiltin="1"/>
    <cellStyle name="Heading 2" xfId="3" builtinId="17" customBuiltin="1"/>
    <cellStyle name="Heading 2 2" xfId="15" xr:uid="{7E05EB76-A36C-4650-8B57-EE5F332243D7}"/>
    <cellStyle name="Heading 3" xfId="4" builtinId="18" customBuiltin="1"/>
    <cellStyle name="Heading 3 2" xfId="14" xr:uid="{58B5F426-77FB-49F9-A866-0A930A17A068}"/>
    <cellStyle name="Heading 4" xfId="6" builtinId="19" customBuiltin="1"/>
    <cellStyle name="Heading 4 2" xfId="16" xr:uid="{2CF1D24A-BC27-4A1D-A898-72F1EF07413C}"/>
    <cellStyle name="Hyperlink" xfId="5" builtinId="8" customBuiltin="1"/>
    <cellStyle name="Input 2" xfId="18" xr:uid="{28B667F5-D623-4759-AC3B-61726EFD4CFD}"/>
    <cellStyle name="Normal" xfId="0" builtinId="0" customBuiltin="1"/>
    <cellStyle name="Normal 2" xfId="13" xr:uid="{6971D19B-FC7C-420F-AF59-FD183B0BF6C4}"/>
    <cellStyle name="Normal 3" xfId="21" xr:uid="{03F551B0-2825-444E-B985-2F59F63009E2}"/>
    <cellStyle name="Note 2" xfId="19" xr:uid="{7C3C29AD-8421-4DC7-BFCC-220FDAE7E408}"/>
    <cellStyle name="Title" xfId="1" builtinId="15" customBuiltin="1"/>
    <cellStyle name="Year" xfId="7" xr:uid="{00000000-0005-0000-0000-00000B000000}"/>
    <cellStyle name="Year and Month" xfId="12" xr:uid="{57A0AE72-B3AD-4FC3-A4B2-CD9281DE89F1}"/>
  </cellStyles>
  <dxfs count="222"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EF9B4"/>
        </patternFill>
      </fill>
    </dxf>
    <dxf>
      <fill>
        <patternFill>
          <bgColor rgb="FFFEF9B4"/>
        </patternFill>
      </fill>
    </dxf>
    <dxf>
      <fill>
        <patternFill>
          <bgColor rgb="FFFEF9B4"/>
        </patternFill>
      </fill>
    </dxf>
    <dxf>
      <fill>
        <patternFill>
          <bgColor rgb="FFFEF9B4"/>
        </patternFill>
      </fill>
    </dxf>
    <dxf>
      <fill>
        <patternFill>
          <bgColor rgb="FFFEF9B4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CC"/>
        </patternFill>
      </fill>
    </dxf>
    <dxf>
      <fill>
        <patternFill>
          <bgColor rgb="FFE9EDE4"/>
        </patternFill>
      </fill>
    </dxf>
    <dxf>
      <fill>
        <patternFill>
          <bgColor rgb="FFFFFFCC"/>
        </patternFill>
      </fill>
    </dxf>
    <dxf>
      <fill>
        <patternFill>
          <bgColor rgb="FFE9EDE4"/>
        </patternFill>
      </fill>
    </dxf>
    <dxf>
      <fill>
        <patternFill>
          <bgColor rgb="FFFFFFCC"/>
        </patternFill>
      </fill>
    </dxf>
    <dxf>
      <fill>
        <patternFill>
          <bgColor rgb="FFE9EDE4"/>
        </patternFill>
      </fill>
    </dxf>
    <dxf>
      <fill>
        <patternFill>
          <bgColor rgb="FFFFFFCC"/>
        </patternFill>
      </fill>
    </dxf>
    <dxf>
      <fill>
        <patternFill>
          <bgColor rgb="FFE9EDE4"/>
        </patternFill>
      </fill>
    </dxf>
    <dxf>
      <fill>
        <patternFill>
          <bgColor rgb="FFFFFFCC"/>
        </patternFill>
      </fill>
    </dxf>
    <dxf>
      <fill>
        <patternFill>
          <bgColor rgb="FFE9EDE4"/>
        </patternFill>
      </fill>
    </dxf>
    <dxf>
      <fill>
        <patternFill>
          <bgColor rgb="FFFFFFCC"/>
        </patternFill>
      </fill>
    </dxf>
    <dxf>
      <fill>
        <patternFill>
          <bgColor rgb="FFE9EDE4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fgColor theme="9" tint="0.39991454817346722"/>
          <bgColor theme="9" tint="0.59996337778862885"/>
        </patternFill>
      </fill>
    </dxf>
    <dxf>
      <fill>
        <patternFill>
          <fgColor theme="9" tint="0.39994506668294322"/>
          <bgColor theme="9" tint="0.39994506668294322"/>
        </patternFill>
      </fill>
    </dxf>
    <dxf>
      <fill>
        <patternFill>
          <fgColor theme="9" tint="0.39991454817346722"/>
          <bgColor theme="9" tint="0.59996337778862885"/>
        </patternFill>
      </fill>
    </dxf>
    <dxf>
      <fill>
        <patternFill>
          <fgColor theme="9" tint="0.39994506668294322"/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39994506668294322"/>
        </patternFill>
      </fill>
    </dxf>
    <dxf>
      <fill>
        <patternFill>
          <bgColor rgb="FFFEF9B4"/>
        </patternFill>
      </fill>
    </dxf>
    <dxf>
      <fill>
        <patternFill>
          <bgColor rgb="FFFEF9B4"/>
        </patternFill>
      </fill>
    </dxf>
    <dxf>
      <fill>
        <patternFill>
          <bgColor rgb="FFFEF9B4"/>
        </patternFill>
      </fill>
    </dxf>
    <dxf>
      <fill>
        <patternFill>
          <bgColor rgb="FFFEF9B4"/>
        </patternFill>
      </fill>
    </dxf>
    <dxf>
      <fill>
        <patternFill>
          <bgColor rgb="FFFEF9B4"/>
        </patternFill>
      </fill>
    </dxf>
    <dxf>
      <fill>
        <patternFill>
          <bgColor rgb="FFFEF9B4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CC"/>
        </patternFill>
      </fill>
    </dxf>
    <dxf>
      <fill>
        <patternFill>
          <bgColor rgb="FFE9EDE4"/>
        </patternFill>
      </fill>
    </dxf>
    <dxf>
      <fill>
        <patternFill>
          <bgColor rgb="FFFFFFCC"/>
        </patternFill>
      </fill>
    </dxf>
    <dxf>
      <fill>
        <patternFill>
          <bgColor rgb="FFE9EDE4"/>
        </patternFill>
      </fill>
    </dxf>
    <dxf>
      <fill>
        <patternFill>
          <bgColor rgb="FFFFFFCC"/>
        </patternFill>
      </fill>
    </dxf>
    <dxf>
      <fill>
        <patternFill>
          <bgColor rgb="FFE9EDE4"/>
        </patternFill>
      </fill>
    </dxf>
    <dxf>
      <fill>
        <patternFill>
          <bgColor rgb="FFFFFFCC"/>
        </patternFill>
      </fill>
    </dxf>
    <dxf>
      <fill>
        <patternFill>
          <bgColor rgb="FFE9EDE4"/>
        </patternFill>
      </fill>
    </dxf>
    <dxf>
      <fill>
        <patternFill>
          <bgColor rgb="FFFFFFCC"/>
        </patternFill>
      </fill>
    </dxf>
    <dxf>
      <fill>
        <patternFill>
          <bgColor rgb="FFE9EDE4"/>
        </patternFill>
      </fill>
    </dxf>
    <dxf>
      <fill>
        <patternFill>
          <bgColor rgb="FFFFFFCC"/>
        </patternFill>
      </fill>
    </dxf>
    <dxf>
      <fill>
        <patternFill>
          <bgColor rgb="FFE9EDE4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fgColor theme="9" tint="0.39991454817346722"/>
          <bgColor theme="9" tint="0.59996337778862885"/>
        </patternFill>
      </fill>
    </dxf>
    <dxf>
      <fill>
        <patternFill>
          <fgColor theme="9" tint="0.39994506668294322"/>
          <bgColor theme="9" tint="0.39994506668294322"/>
        </patternFill>
      </fill>
    </dxf>
    <dxf>
      <fill>
        <patternFill>
          <fgColor theme="9" tint="0.39991454817346722"/>
          <bgColor rgb="FFB3C5DB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numFmt numFmtId="0" formatCode="General"/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numFmt numFmtId="0" formatCode="General"/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numFmt numFmtId="165" formatCode="[$-F800]dddd\,\ mmmm\ dd\,\ yyyy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numFmt numFmtId="0" formatCode="General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fill>
        <patternFill patternType="solid">
          <fgColor indexed="64"/>
          <bgColor theme="2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fill>
        <patternFill patternType="solid">
          <fgColor indexed="64"/>
          <bgColor theme="2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fill>
        <patternFill patternType="solid">
          <fgColor indexed="64"/>
          <bgColor theme="2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general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general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numFmt numFmtId="165" formatCode="[$-F800]dddd\,\ mmmm\ dd\,\ yyyy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rebuchet MS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alignment horizontal="general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Trebuchet MS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 tint="0.34998626667073579"/>
        <name val="Trebuchet MS"/>
        <family val="2"/>
        <scheme val="minor"/>
      </font>
    </dxf>
  </dxfs>
  <tableStyles count="0" defaultTableStyle="TableStyleMedium2" defaultPivotStyle="PivotStyleLight16"/>
  <colors>
    <mruColors>
      <color rgb="FF764407"/>
      <color rgb="FFF9CF9D"/>
      <color rgb="FFFCE7CD"/>
      <color rgb="FFFEF9B4"/>
      <color rgb="FFFEF9BE"/>
      <color rgb="FFFFFFCC"/>
      <color rgb="FFE9EDE4"/>
      <color rgb="FFB3C5DB"/>
      <color rgb="FFCBD8E7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AUGUST!A1"/><Relationship Id="rId3" Type="http://schemas.openxmlformats.org/officeDocument/2006/relationships/hyperlink" Target="#FEBRUARY!A1"/><Relationship Id="rId7" Type="http://schemas.openxmlformats.org/officeDocument/2006/relationships/hyperlink" Target="#JULY!A1"/><Relationship Id="rId12" Type="http://schemas.openxmlformats.org/officeDocument/2006/relationships/hyperlink" Target="#DECEMBER!A1"/><Relationship Id="rId2" Type="http://schemas.openxmlformats.org/officeDocument/2006/relationships/hyperlink" Target="#JANUARY!A1"/><Relationship Id="rId1" Type="http://schemas.openxmlformats.org/officeDocument/2006/relationships/hyperlink" Target="#MAY!A1"/><Relationship Id="rId6" Type="http://schemas.openxmlformats.org/officeDocument/2006/relationships/hyperlink" Target="#JUNE!A1"/><Relationship Id="rId11" Type="http://schemas.openxmlformats.org/officeDocument/2006/relationships/hyperlink" Target="#NOVEMBER!A1"/><Relationship Id="rId5" Type="http://schemas.openxmlformats.org/officeDocument/2006/relationships/hyperlink" Target="#APRIL!A1"/><Relationship Id="rId10" Type="http://schemas.openxmlformats.org/officeDocument/2006/relationships/hyperlink" Target="#OCTOBER!A1"/><Relationship Id="rId4" Type="http://schemas.openxmlformats.org/officeDocument/2006/relationships/hyperlink" Target="#MARCH!A1"/><Relationship Id="rId9" Type="http://schemas.openxmlformats.org/officeDocument/2006/relationships/hyperlink" Target="#SEPTEMBE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tabas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tabas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tabase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 CVM'!A1"/><Relationship Id="rId1" Type="http://schemas.openxmlformats.org/officeDocument/2006/relationships/hyperlink" Target="#Databas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atabas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atabas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atabas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atabase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atabas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atabase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atabase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Databa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1</xdr:row>
      <xdr:rowOff>76200</xdr:rowOff>
    </xdr:from>
    <xdr:to>
      <xdr:col>8</xdr:col>
      <xdr:colOff>38099</xdr:colOff>
      <xdr:row>30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A4D1B28-E5F8-D863-FFCF-9BCA7BE4BD87}"/>
            </a:ext>
          </a:extLst>
        </xdr:cNvPr>
        <xdr:cNvSpPr txBox="1"/>
      </xdr:nvSpPr>
      <xdr:spPr>
        <a:xfrm>
          <a:off x="28574" y="495300"/>
          <a:ext cx="6105525" cy="6086475"/>
        </a:xfrm>
        <a:prstGeom prst="rect">
          <a:avLst/>
        </a:prstGeom>
        <a:solidFill>
          <a:schemeClr val="lt1"/>
        </a:solidFill>
        <a:ln w="190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CVM</a:t>
          </a:r>
          <a:r>
            <a:rPr lang="en-US" sz="1100" baseline="0"/>
            <a:t> - Enter Dates only from Column J to AG</a:t>
          </a:r>
        </a:p>
        <a:p>
          <a:r>
            <a:rPr lang="en-US" sz="1100" baseline="0"/>
            <a:t>2. Database - Enter only dates in column AE</a:t>
          </a:r>
        </a:p>
        <a:p>
          <a:r>
            <a:rPr lang="en-US" sz="1100" baseline="0"/>
            <a:t>3. CVM - Please add notes/comment in column F </a:t>
          </a:r>
          <a:r>
            <a:rPr lang="en-US" sz="900" baseline="0">
              <a:solidFill>
                <a:srgbClr val="FF0000"/>
              </a:solidFill>
            </a:rPr>
            <a:t>(for example if you need a store removed, or No      </a:t>
          </a:r>
        </a:p>
        <a:p>
          <a:r>
            <a:rPr lang="en-US" sz="900" baseline="0">
              <a:solidFill>
                <a:srgbClr val="FF0000"/>
              </a:solidFill>
            </a:rPr>
            <a:t>     Visisted needed etc)</a:t>
          </a:r>
        </a:p>
        <a:p>
          <a:r>
            <a:rPr lang="en-US" sz="1100" baseline="0">
              <a:solidFill>
                <a:srgbClr val="FF0000"/>
              </a:solidFill>
            </a:rPr>
            <a:t>4. Do not remove any columns or rows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47625</xdr:rowOff>
    </xdr:from>
    <xdr:to>
      <xdr:col>18</xdr:col>
      <xdr:colOff>1304925</xdr:colOff>
      <xdr:row>0</xdr:row>
      <xdr:rowOff>438150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58119F-DF2C-456E-8B51-9ADE31FB75C8}"/>
            </a:ext>
          </a:extLst>
        </xdr:cNvPr>
        <xdr:cNvSpPr/>
      </xdr:nvSpPr>
      <xdr:spPr>
        <a:xfrm>
          <a:off x="18135600" y="47625"/>
          <a:ext cx="914400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MAY</a:t>
          </a:r>
        </a:p>
      </xdr:txBody>
    </xdr:sp>
    <xdr:clientData/>
  </xdr:twoCellAnchor>
  <xdr:twoCellAnchor>
    <xdr:from>
      <xdr:col>10</xdr:col>
      <xdr:colOff>361950</xdr:colOff>
      <xdr:row>0</xdr:row>
      <xdr:rowOff>66675</xdr:rowOff>
    </xdr:from>
    <xdr:to>
      <xdr:col>10</xdr:col>
      <xdr:colOff>1276350</xdr:colOff>
      <xdr:row>0</xdr:row>
      <xdr:rowOff>457200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D9A7AF-5ACC-4F1F-9B52-C8DABECC1B7D}"/>
            </a:ext>
          </a:extLst>
        </xdr:cNvPr>
        <xdr:cNvSpPr/>
      </xdr:nvSpPr>
      <xdr:spPr>
        <a:xfrm>
          <a:off x="7600950" y="66675"/>
          <a:ext cx="914400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JAN</a:t>
          </a:r>
        </a:p>
      </xdr:txBody>
    </xdr:sp>
    <xdr:clientData/>
  </xdr:twoCellAnchor>
  <xdr:twoCellAnchor>
    <xdr:from>
      <xdr:col>12</xdr:col>
      <xdr:colOff>438150</xdr:colOff>
      <xdr:row>0</xdr:row>
      <xdr:rowOff>76200</xdr:rowOff>
    </xdr:from>
    <xdr:to>
      <xdr:col>12</xdr:col>
      <xdr:colOff>1352550</xdr:colOff>
      <xdr:row>0</xdr:row>
      <xdr:rowOff>466725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8C5837-AE02-442B-91D7-839FC3EFBCBC}"/>
            </a:ext>
          </a:extLst>
        </xdr:cNvPr>
        <xdr:cNvSpPr/>
      </xdr:nvSpPr>
      <xdr:spPr>
        <a:xfrm>
          <a:off x="10287000" y="76200"/>
          <a:ext cx="914400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FEB</a:t>
          </a:r>
        </a:p>
      </xdr:txBody>
    </xdr:sp>
    <xdr:clientData/>
  </xdr:twoCellAnchor>
  <xdr:twoCellAnchor>
    <xdr:from>
      <xdr:col>14</xdr:col>
      <xdr:colOff>400050</xdr:colOff>
      <xdr:row>0</xdr:row>
      <xdr:rowOff>76200</xdr:rowOff>
    </xdr:from>
    <xdr:to>
      <xdr:col>14</xdr:col>
      <xdr:colOff>1314450</xdr:colOff>
      <xdr:row>0</xdr:row>
      <xdr:rowOff>466725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59FB73D-FDA2-4887-9751-F9B892941D2D}"/>
            </a:ext>
          </a:extLst>
        </xdr:cNvPr>
        <xdr:cNvSpPr/>
      </xdr:nvSpPr>
      <xdr:spPr>
        <a:xfrm>
          <a:off x="12925425" y="76200"/>
          <a:ext cx="914400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MAR</a:t>
          </a:r>
        </a:p>
      </xdr:txBody>
    </xdr:sp>
    <xdr:clientData/>
  </xdr:twoCellAnchor>
  <xdr:twoCellAnchor>
    <xdr:from>
      <xdr:col>16</xdr:col>
      <xdr:colOff>390525</xdr:colOff>
      <xdr:row>0</xdr:row>
      <xdr:rowOff>76200</xdr:rowOff>
    </xdr:from>
    <xdr:to>
      <xdr:col>16</xdr:col>
      <xdr:colOff>1304925</xdr:colOff>
      <xdr:row>0</xdr:row>
      <xdr:rowOff>466725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1AEBF57-FCBC-4B1E-A237-C8BF40FBFFBA}"/>
            </a:ext>
          </a:extLst>
        </xdr:cNvPr>
        <xdr:cNvSpPr/>
      </xdr:nvSpPr>
      <xdr:spPr>
        <a:xfrm>
          <a:off x="15525750" y="76200"/>
          <a:ext cx="914400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APR</a:t>
          </a:r>
        </a:p>
      </xdr:txBody>
    </xdr:sp>
    <xdr:clientData/>
  </xdr:twoCellAnchor>
  <xdr:twoCellAnchor>
    <xdr:from>
      <xdr:col>20</xdr:col>
      <xdr:colOff>333375</xdr:colOff>
      <xdr:row>0</xdr:row>
      <xdr:rowOff>76200</xdr:rowOff>
    </xdr:from>
    <xdr:to>
      <xdr:col>20</xdr:col>
      <xdr:colOff>1247775</xdr:colOff>
      <xdr:row>0</xdr:row>
      <xdr:rowOff>466725</xdr:rowOff>
    </xdr:to>
    <xdr:sp macro="" textlink="">
      <xdr:nvSpPr>
        <xdr:cNvPr id="7" name="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61AF394-5504-4C99-A67D-D5F7F639B958}"/>
            </a:ext>
          </a:extLst>
        </xdr:cNvPr>
        <xdr:cNvSpPr/>
      </xdr:nvSpPr>
      <xdr:spPr>
        <a:xfrm>
          <a:off x="20688300" y="76200"/>
          <a:ext cx="914400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JUN</a:t>
          </a:r>
        </a:p>
      </xdr:txBody>
    </xdr:sp>
    <xdr:clientData/>
  </xdr:twoCellAnchor>
  <xdr:twoCellAnchor>
    <xdr:from>
      <xdr:col>22</xdr:col>
      <xdr:colOff>390525</xdr:colOff>
      <xdr:row>0</xdr:row>
      <xdr:rowOff>66675</xdr:rowOff>
    </xdr:from>
    <xdr:to>
      <xdr:col>22</xdr:col>
      <xdr:colOff>1304925</xdr:colOff>
      <xdr:row>0</xdr:row>
      <xdr:rowOff>457200</xdr:rowOff>
    </xdr:to>
    <xdr:sp macro="" textlink="">
      <xdr:nvSpPr>
        <xdr:cNvPr id="8" name="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C6783BD-A183-43C3-8125-2FC119742FCC}"/>
            </a:ext>
          </a:extLst>
        </xdr:cNvPr>
        <xdr:cNvSpPr/>
      </xdr:nvSpPr>
      <xdr:spPr>
        <a:xfrm>
          <a:off x="23355300" y="66675"/>
          <a:ext cx="914400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JUL</a:t>
          </a:r>
        </a:p>
      </xdr:txBody>
    </xdr:sp>
    <xdr:clientData/>
  </xdr:twoCellAnchor>
  <xdr:twoCellAnchor>
    <xdr:from>
      <xdr:col>24</xdr:col>
      <xdr:colOff>342900</xdr:colOff>
      <xdr:row>0</xdr:row>
      <xdr:rowOff>66675</xdr:rowOff>
    </xdr:from>
    <xdr:to>
      <xdr:col>24</xdr:col>
      <xdr:colOff>1257300</xdr:colOff>
      <xdr:row>0</xdr:row>
      <xdr:rowOff>457200</xdr:rowOff>
    </xdr:to>
    <xdr:sp macro="" textlink="">
      <xdr:nvSpPr>
        <xdr:cNvPr id="9" name="Rectangl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237037C-647E-4051-AAC6-BC7C746B0BD8}"/>
            </a:ext>
          </a:extLst>
        </xdr:cNvPr>
        <xdr:cNvSpPr/>
      </xdr:nvSpPr>
      <xdr:spPr>
        <a:xfrm>
          <a:off x="25917525" y="66675"/>
          <a:ext cx="914400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AUG</a:t>
          </a:r>
        </a:p>
      </xdr:txBody>
    </xdr:sp>
    <xdr:clientData/>
  </xdr:twoCellAnchor>
  <xdr:twoCellAnchor>
    <xdr:from>
      <xdr:col>26</xdr:col>
      <xdr:colOff>352425</xdr:colOff>
      <xdr:row>0</xdr:row>
      <xdr:rowOff>76200</xdr:rowOff>
    </xdr:from>
    <xdr:to>
      <xdr:col>26</xdr:col>
      <xdr:colOff>1266825</xdr:colOff>
      <xdr:row>0</xdr:row>
      <xdr:rowOff>466725</xdr:rowOff>
    </xdr:to>
    <xdr:sp macro="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A03D801-61F5-4056-A18B-EF2DC55575A8}"/>
            </a:ext>
          </a:extLst>
        </xdr:cNvPr>
        <xdr:cNvSpPr/>
      </xdr:nvSpPr>
      <xdr:spPr>
        <a:xfrm>
          <a:off x="28536900" y="76200"/>
          <a:ext cx="914400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SEP</a:t>
          </a:r>
        </a:p>
      </xdr:txBody>
    </xdr:sp>
    <xdr:clientData/>
  </xdr:twoCellAnchor>
  <xdr:twoCellAnchor>
    <xdr:from>
      <xdr:col>28</xdr:col>
      <xdr:colOff>409575</xdr:colOff>
      <xdr:row>0</xdr:row>
      <xdr:rowOff>57150</xdr:rowOff>
    </xdr:from>
    <xdr:to>
      <xdr:col>28</xdr:col>
      <xdr:colOff>1323975</xdr:colOff>
      <xdr:row>0</xdr:row>
      <xdr:rowOff>447675</xdr:rowOff>
    </xdr:to>
    <xdr:sp macro="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318F855-5547-4C65-98B5-2C4714B9E8C1}"/>
            </a:ext>
          </a:extLst>
        </xdr:cNvPr>
        <xdr:cNvSpPr/>
      </xdr:nvSpPr>
      <xdr:spPr>
        <a:xfrm>
          <a:off x="31203900" y="57150"/>
          <a:ext cx="914400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OCT</a:t>
          </a:r>
        </a:p>
      </xdr:txBody>
    </xdr:sp>
    <xdr:clientData/>
  </xdr:twoCellAnchor>
  <xdr:twoCellAnchor>
    <xdr:from>
      <xdr:col>30</xdr:col>
      <xdr:colOff>295275</xdr:colOff>
      <xdr:row>0</xdr:row>
      <xdr:rowOff>38100</xdr:rowOff>
    </xdr:from>
    <xdr:to>
      <xdr:col>30</xdr:col>
      <xdr:colOff>1209675</xdr:colOff>
      <xdr:row>0</xdr:row>
      <xdr:rowOff>428625</xdr:rowOff>
    </xdr:to>
    <xdr:sp macro="" textlink="">
      <xdr:nvSpPr>
        <xdr:cNvPr id="12" name="Rectangle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53504FC-01B8-4A6E-B6F6-89E1028C45F0}"/>
            </a:ext>
          </a:extLst>
        </xdr:cNvPr>
        <xdr:cNvSpPr/>
      </xdr:nvSpPr>
      <xdr:spPr>
        <a:xfrm>
          <a:off x="33699450" y="38100"/>
          <a:ext cx="914400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NOV</a:t>
          </a:r>
        </a:p>
      </xdr:txBody>
    </xdr:sp>
    <xdr:clientData/>
  </xdr:twoCellAnchor>
  <xdr:twoCellAnchor>
    <xdr:from>
      <xdr:col>32</xdr:col>
      <xdr:colOff>333375</xdr:colOff>
      <xdr:row>0</xdr:row>
      <xdr:rowOff>85725</xdr:rowOff>
    </xdr:from>
    <xdr:to>
      <xdr:col>32</xdr:col>
      <xdr:colOff>1247775</xdr:colOff>
      <xdr:row>0</xdr:row>
      <xdr:rowOff>476250</xdr:rowOff>
    </xdr:to>
    <xdr:sp macro="" textlink="">
      <xdr:nvSpPr>
        <xdr:cNvPr id="13" name="Rectangle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3194888-99CB-4528-B9E4-09614216F22D}"/>
            </a:ext>
          </a:extLst>
        </xdr:cNvPr>
        <xdr:cNvSpPr/>
      </xdr:nvSpPr>
      <xdr:spPr>
        <a:xfrm>
          <a:off x="36347400" y="85725"/>
          <a:ext cx="914400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0</xdr:row>
      <xdr:rowOff>38100</xdr:rowOff>
    </xdr:from>
    <xdr:to>
      <xdr:col>1</xdr:col>
      <xdr:colOff>1162050</xdr:colOff>
      <xdr:row>0</xdr:row>
      <xdr:rowOff>419100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73DBE3-3CB4-CC7E-6422-C589038B0175}"/>
            </a:ext>
          </a:extLst>
        </xdr:cNvPr>
        <xdr:cNvSpPr/>
      </xdr:nvSpPr>
      <xdr:spPr>
        <a:xfrm>
          <a:off x="447675" y="38100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Database</a:t>
          </a:r>
          <a:endParaRPr lang="en-US" sz="1400" b="1"/>
        </a:p>
      </xdr:txBody>
    </xdr:sp>
    <xdr:clientData/>
  </xdr:twoCellAnchor>
  <xdr:twoCellAnchor>
    <xdr:from>
      <xdr:col>1</xdr:col>
      <xdr:colOff>1400175</xdr:colOff>
      <xdr:row>0</xdr:row>
      <xdr:rowOff>47625</xdr:rowOff>
    </xdr:from>
    <xdr:to>
      <xdr:col>1</xdr:col>
      <xdr:colOff>2314575</xdr:colOff>
      <xdr:row>0</xdr:row>
      <xdr:rowOff>428625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F152A6-5512-46FB-A99D-33993B97B7CA}"/>
            </a:ext>
          </a:extLst>
        </xdr:cNvPr>
        <xdr:cNvSpPr/>
      </xdr:nvSpPr>
      <xdr:spPr>
        <a:xfrm>
          <a:off x="1600200" y="47625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CVM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632460</xdr:colOff>
      <xdr:row>0</xdr:row>
      <xdr:rowOff>22860</xdr:rowOff>
    </xdr:from>
    <xdr:to>
      <xdr:col>1</xdr:col>
      <xdr:colOff>1546860</xdr:colOff>
      <xdr:row>0</xdr:row>
      <xdr:rowOff>403860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A60018-A1BA-4956-A0C4-57C8740B2B1A}"/>
            </a:ext>
          </a:extLst>
        </xdr:cNvPr>
        <xdr:cNvSpPr/>
      </xdr:nvSpPr>
      <xdr:spPr>
        <a:xfrm>
          <a:off x="1767840" y="22860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Database</a:t>
          </a:r>
          <a:endParaRPr lang="en-US" sz="1400" b="1"/>
        </a:p>
      </xdr:txBody>
    </xdr:sp>
    <xdr:clientData/>
  </xdr:twoCellAnchor>
  <xdr:twoCellAnchor>
    <xdr:from>
      <xdr:col>1</xdr:col>
      <xdr:colOff>1782445</xdr:colOff>
      <xdr:row>0</xdr:row>
      <xdr:rowOff>37465</xdr:rowOff>
    </xdr:from>
    <xdr:to>
      <xdr:col>1</xdr:col>
      <xdr:colOff>2696845</xdr:colOff>
      <xdr:row>0</xdr:row>
      <xdr:rowOff>418465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DECFF5-4C0A-4126-BEB7-347F9502E004}"/>
            </a:ext>
          </a:extLst>
        </xdr:cNvPr>
        <xdr:cNvSpPr/>
      </xdr:nvSpPr>
      <xdr:spPr>
        <a:xfrm>
          <a:off x="2917825" y="37465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CVM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807720</xdr:colOff>
      <xdr:row>0</xdr:row>
      <xdr:rowOff>38100</xdr:rowOff>
    </xdr:from>
    <xdr:to>
      <xdr:col>1</xdr:col>
      <xdr:colOff>1722120</xdr:colOff>
      <xdr:row>0</xdr:row>
      <xdr:rowOff>419100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2A6333-0DDA-4A4F-AB82-A4F9C7614003}"/>
            </a:ext>
          </a:extLst>
        </xdr:cNvPr>
        <xdr:cNvSpPr/>
      </xdr:nvSpPr>
      <xdr:spPr>
        <a:xfrm>
          <a:off x="1920240" y="38100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Database</a:t>
          </a:r>
          <a:endParaRPr lang="en-US" sz="1400" b="1"/>
        </a:p>
      </xdr:txBody>
    </xdr:sp>
    <xdr:clientData/>
  </xdr:twoCellAnchor>
  <xdr:twoCellAnchor>
    <xdr:from>
      <xdr:col>1</xdr:col>
      <xdr:colOff>1956435</xdr:colOff>
      <xdr:row>0</xdr:row>
      <xdr:rowOff>52705</xdr:rowOff>
    </xdr:from>
    <xdr:to>
      <xdr:col>1</xdr:col>
      <xdr:colOff>2870835</xdr:colOff>
      <xdr:row>0</xdr:row>
      <xdr:rowOff>433705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31189B-5AD2-4BA4-A7BE-716DBB91D613}"/>
            </a:ext>
          </a:extLst>
        </xdr:cNvPr>
        <xdr:cNvSpPr/>
      </xdr:nvSpPr>
      <xdr:spPr>
        <a:xfrm>
          <a:off x="3068955" y="52705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CVM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698500</xdr:colOff>
      <xdr:row>0</xdr:row>
      <xdr:rowOff>35554</xdr:rowOff>
    </xdr:from>
    <xdr:to>
      <xdr:col>1</xdr:col>
      <xdr:colOff>1612900</xdr:colOff>
      <xdr:row>0</xdr:row>
      <xdr:rowOff>424774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550B40-AAD7-4CA1-A149-F606F56CAC90}"/>
            </a:ext>
          </a:extLst>
        </xdr:cNvPr>
        <xdr:cNvSpPr/>
      </xdr:nvSpPr>
      <xdr:spPr>
        <a:xfrm>
          <a:off x="1597660" y="35554"/>
          <a:ext cx="914400" cy="38922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DATABASE</a:t>
          </a:r>
        </a:p>
      </xdr:txBody>
    </xdr:sp>
    <xdr:clientData/>
  </xdr:twoCellAnchor>
  <xdr:twoCellAnchor>
    <xdr:from>
      <xdr:col>1</xdr:col>
      <xdr:colOff>1799590</xdr:colOff>
      <xdr:row>0</xdr:row>
      <xdr:rowOff>62859</xdr:rowOff>
    </xdr:from>
    <xdr:to>
      <xdr:col>1</xdr:col>
      <xdr:colOff>2713990</xdr:colOff>
      <xdr:row>0</xdr:row>
      <xdr:rowOff>443824</xdr:rowOff>
    </xdr:to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C60F4B-6E61-41EE-B772-248A1787A435}"/>
            </a:ext>
          </a:extLst>
        </xdr:cNvPr>
        <xdr:cNvSpPr/>
      </xdr:nvSpPr>
      <xdr:spPr>
        <a:xfrm>
          <a:off x="2805430" y="62859"/>
          <a:ext cx="914400" cy="38096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CVM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914400</xdr:colOff>
      <xdr:row>0</xdr:row>
      <xdr:rowOff>381000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F064C6-0551-40FD-907C-2AB70415E863}"/>
            </a:ext>
          </a:extLst>
        </xdr:cNvPr>
        <xdr:cNvSpPr/>
      </xdr:nvSpPr>
      <xdr:spPr>
        <a:xfrm>
          <a:off x="190500" y="0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Database</a:t>
          </a:r>
          <a:endParaRPr lang="en-US" sz="1400" b="1"/>
        </a:p>
      </xdr:txBody>
    </xdr:sp>
    <xdr:clientData/>
  </xdr:twoCellAnchor>
  <xdr:twoCellAnchor>
    <xdr:from>
      <xdr:col>1</xdr:col>
      <xdr:colOff>1149985</xdr:colOff>
      <xdr:row>0</xdr:row>
      <xdr:rowOff>17145</xdr:rowOff>
    </xdr:from>
    <xdr:to>
      <xdr:col>1</xdr:col>
      <xdr:colOff>2064385</xdr:colOff>
      <xdr:row>0</xdr:row>
      <xdr:rowOff>398145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44487E-8909-47EF-90AA-DF03B071DE4B}"/>
            </a:ext>
          </a:extLst>
        </xdr:cNvPr>
        <xdr:cNvSpPr/>
      </xdr:nvSpPr>
      <xdr:spPr>
        <a:xfrm>
          <a:off x="1340485" y="17145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CVM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825500</xdr:colOff>
      <xdr:row>0</xdr:row>
      <xdr:rowOff>33020</xdr:rowOff>
    </xdr:from>
    <xdr:to>
      <xdr:col>1</xdr:col>
      <xdr:colOff>1739900</xdr:colOff>
      <xdr:row>0</xdr:row>
      <xdr:rowOff>414020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08D653-367B-4B90-8516-7E91BDF52C11}"/>
            </a:ext>
          </a:extLst>
        </xdr:cNvPr>
        <xdr:cNvSpPr/>
      </xdr:nvSpPr>
      <xdr:spPr>
        <a:xfrm>
          <a:off x="1968500" y="33020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Database</a:t>
          </a:r>
          <a:endParaRPr lang="en-US" sz="1400" b="1"/>
        </a:p>
      </xdr:txBody>
    </xdr:sp>
    <xdr:clientData/>
  </xdr:twoCellAnchor>
  <xdr:twoCellAnchor>
    <xdr:from>
      <xdr:col>1</xdr:col>
      <xdr:colOff>1974215</xdr:colOff>
      <xdr:row>0</xdr:row>
      <xdr:rowOff>20955</xdr:rowOff>
    </xdr:from>
    <xdr:to>
      <xdr:col>1</xdr:col>
      <xdr:colOff>2888615</xdr:colOff>
      <xdr:row>0</xdr:row>
      <xdr:rowOff>401955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F3612C-05C7-43E1-BBA4-0B94669E0C46}"/>
            </a:ext>
          </a:extLst>
        </xdr:cNvPr>
        <xdr:cNvSpPr/>
      </xdr:nvSpPr>
      <xdr:spPr>
        <a:xfrm>
          <a:off x="2164715" y="20955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CVM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708660</xdr:colOff>
      <xdr:row>0</xdr:row>
      <xdr:rowOff>0</xdr:rowOff>
    </xdr:from>
    <xdr:to>
      <xdr:col>1</xdr:col>
      <xdr:colOff>1623060</xdr:colOff>
      <xdr:row>0</xdr:row>
      <xdr:rowOff>378460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5B6796-95AF-47E4-A685-2845025FBD9B}"/>
            </a:ext>
          </a:extLst>
        </xdr:cNvPr>
        <xdr:cNvSpPr/>
      </xdr:nvSpPr>
      <xdr:spPr>
        <a:xfrm>
          <a:off x="899160" y="0"/>
          <a:ext cx="914400" cy="3784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Database</a:t>
          </a:r>
          <a:endParaRPr lang="en-US" sz="1400" b="1"/>
        </a:p>
      </xdr:txBody>
    </xdr:sp>
    <xdr:clientData/>
  </xdr:twoCellAnchor>
  <xdr:twoCellAnchor>
    <xdr:from>
      <xdr:col>1</xdr:col>
      <xdr:colOff>1859915</xdr:colOff>
      <xdr:row>0</xdr:row>
      <xdr:rowOff>20955</xdr:rowOff>
    </xdr:from>
    <xdr:to>
      <xdr:col>1</xdr:col>
      <xdr:colOff>2774315</xdr:colOff>
      <xdr:row>0</xdr:row>
      <xdr:rowOff>398145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2E7A1A-8FB4-469E-AC99-73B8FE13BB07}"/>
            </a:ext>
          </a:extLst>
        </xdr:cNvPr>
        <xdr:cNvSpPr/>
      </xdr:nvSpPr>
      <xdr:spPr>
        <a:xfrm>
          <a:off x="2050415" y="20955"/>
          <a:ext cx="914400" cy="37719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CVM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805180</xdr:colOff>
      <xdr:row>0</xdr:row>
      <xdr:rowOff>53340</xdr:rowOff>
    </xdr:from>
    <xdr:to>
      <xdr:col>1</xdr:col>
      <xdr:colOff>1719580</xdr:colOff>
      <xdr:row>0</xdr:row>
      <xdr:rowOff>434340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475219-01FC-4394-9735-8F95A65B85B8}"/>
            </a:ext>
          </a:extLst>
        </xdr:cNvPr>
        <xdr:cNvSpPr/>
      </xdr:nvSpPr>
      <xdr:spPr>
        <a:xfrm>
          <a:off x="1948180" y="53340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Database</a:t>
          </a:r>
          <a:endParaRPr lang="en-US" sz="1400" b="1"/>
        </a:p>
      </xdr:txBody>
    </xdr:sp>
    <xdr:clientData/>
  </xdr:twoCellAnchor>
  <xdr:twoCellAnchor>
    <xdr:from>
      <xdr:col>1</xdr:col>
      <xdr:colOff>1891665</xdr:colOff>
      <xdr:row>0</xdr:row>
      <xdr:rowOff>46355</xdr:rowOff>
    </xdr:from>
    <xdr:to>
      <xdr:col>1</xdr:col>
      <xdr:colOff>2806065</xdr:colOff>
      <xdr:row>0</xdr:row>
      <xdr:rowOff>427355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B46E6D-578E-43DD-88FF-1C7CEE94D63F}"/>
            </a:ext>
          </a:extLst>
        </xdr:cNvPr>
        <xdr:cNvSpPr/>
      </xdr:nvSpPr>
      <xdr:spPr>
        <a:xfrm>
          <a:off x="3034665" y="46355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CVM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585470</xdr:colOff>
      <xdr:row>0</xdr:row>
      <xdr:rowOff>0</xdr:rowOff>
    </xdr:from>
    <xdr:to>
      <xdr:col>1</xdr:col>
      <xdr:colOff>1499870</xdr:colOff>
      <xdr:row>0</xdr:row>
      <xdr:rowOff>381000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1746AE-8AEE-4B86-89C9-CA087083C5F8}"/>
            </a:ext>
          </a:extLst>
        </xdr:cNvPr>
        <xdr:cNvSpPr/>
      </xdr:nvSpPr>
      <xdr:spPr>
        <a:xfrm>
          <a:off x="1728470" y="0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Database</a:t>
          </a:r>
          <a:endParaRPr lang="en-US" sz="1400" b="1"/>
        </a:p>
      </xdr:txBody>
    </xdr:sp>
    <xdr:clientData/>
  </xdr:twoCellAnchor>
  <xdr:twoCellAnchor>
    <xdr:from>
      <xdr:col>1</xdr:col>
      <xdr:colOff>1720215</xdr:colOff>
      <xdr:row>0</xdr:row>
      <xdr:rowOff>19685</xdr:rowOff>
    </xdr:from>
    <xdr:to>
      <xdr:col>1</xdr:col>
      <xdr:colOff>2634615</xdr:colOff>
      <xdr:row>0</xdr:row>
      <xdr:rowOff>400685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352AC5-525E-4D88-9994-A73BD06CB9BB}"/>
            </a:ext>
          </a:extLst>
        </xdr:cNvPr>
        <xdr:cNvSpPr/>
      </xdr:nvSpPr>
      <xdr:spPr>
        <a:xfrm>
          <a:off x="2863215" y="19685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CVM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726440</xdr:colOff>
      <xdr:row>0</xdr:row>
      <xdr:rowOff>39370</xdr:rowOff>
    </xdr:from>
    <xdr:to>
      <xdr:col>1</xdr:col>
      <xdr:colOff>1640840</xdr:colOff>
      <xdr:row>0</xdr:row>
      <xdr:rowOff>420370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102F98-F027-4971-A25F-697BED7A3D90}"/>
            </a:ext>
          </a:extLst>
        </xdr:cNvPr>
        <xdr:cNvSpPr/>
      </xdr:nvSpPr>
      <xdr:spPr>
        <a:xfrm>
          <a:off x="1732280" y="39370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Database</a:t>
          </a:r>
          <a:endParaRPr lang="en-US" sz="1400" b="1"/>
        </a:p>
      </xdr:txBody>
    </xdr:sp>
    <xdr:clientData/>
  </xdr:twoCellAnchor>
  <xdr:twoCellAnchor>
    <xdr:from>
      <xdr:col>1</xdr:col>
      <xdr:colOff>1866265</xdr:colOff>
      <xdr:row>0</xdr:row>
      <xdr:rowOff>46355</xdr:rowOff>
    </xdr:from>
    <xdr:to>
      <xdr:col>1</xdr:col>
      <xdr:colOff>2780665</xdr:colOff>
      <xdr:row>0</xdr:row>
      <xdr:rowOff>427355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BFFEDD-1996-4FC8-8332-18A730A50E66}"/>
            </a:ext>
          </a:extLst>
        </xdr:cNvPr>
        <xdr:cNvSpPr/>
      </xdr:nvSpPr>
      <xdr:spPr>
        <a:xfrm>
          <a:off x="2872105" y="46355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CVM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624840</xdr:colOff>
      <xdr:row>0</xdr:row>
      <xdr:rowOff>0</xdr:rowOff>
    </xdr:from>
    <xdr:to>
      <xdr:col>1</xdr:col>
      <xdr:colOff>1539240</xdr:colOff>
      <xdr:row>0</xdr:row>
      <xdr:rowOff>381000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5F4320-70AD-4DAF-9597-97A01137F505}"/>
            </a:ext>
          </a:extLst>
        </xdr:cNvPr>
        <xdr:cNvSpPr/>
      </xdr:nvSpPr>
      <xdr:spPr>
        <a:xfrm>
          <a:off x="815340" y="0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Database</a:t>
          </a:r>
          <a:endParaRPr lang="en-US" sz="1400" b="1"/>
        </a:p>
      </xdr:txBody>
    </xdr:sp>
    <xdr:clientData/>
  </xdr:twoCellAnchor>
  <xdr:twoCellAnchor>
    <xdr:from>
      <xdr:col>1</xdr:col>
      <xdr:colOff>1776095</xdr:colOff>
      <xdr:row>0</xdr:row>
      <xdr:rowOff>20955</xdr:rowOff>
    </xdr:from>
    <xdr:to>
      <xdr:col>1</xdr:col>
      <xdr:colOff>2690495</xdr:colOff>
      <xdr:row>0</xdr:row>
      <xdr:rowOff>401955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1A6289-4803-4C0A-94AF-EC4435EBD293}"/>
            </a:ext>
          </a:extLst>
        </xdr:cNvPr>
        <xdr:cNvSpPr/>
      </xdr:nvSpPr>
      <xdr:spPr>
        <a:xfrm>
          <a:off x="1966595" y="20955"/>
          <a:ext cx="9144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CVM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800100</xdr:colOff>
      <xdr:row>0</xdr:row>
      <xdr:rowOff>45720</xdr:rowOff>
    </xdr:from>
    <xdr:to>
      <xdr:col>1</xdr:col>
      <xdr:colOff>1714500</xdr:colOff>
      <xdr:row>0</xdr:row>
      <xdr:rowOff>424180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199C15-96EF-46E5-8357-56EADBFF7D9E}"/>
            </a:ext>
          </a:extLst>
        </xdr:cNvPr>
        <xdr:cNvSpPr/>
      </xdr:nvSpPr>
      <xdr:spPr>
        <a:xfrm>
          <a:off x="990600" y="45720"/>
          <a:ext cx="914400" cy="3784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Database</a:t>
          </a:r>
          <a:endParaRPr lang="en-US" sz="1400" b="1"/>
        </a:p>
      </xdr:txBody>
    </xdr:sp>
    <xdr:clientData/>
  </xdr:twoCellAnchor>
  <xdr:twoCellAnchor>
    <xdr:from>
      <xdr:col>1</xdr:col>
      <xdr:colOff>1951355</xdr:colOff>
      <xdr:row>0</xdr:row>
      <xdr:rowOff>66675</xdr:rowOff>
    </xdr:from>
    <xdr:to>
      <xdr:col>1</xdr:col>
      <xdr:colOff>2865755</xdr:colOff>
      <xdr:row>0</xdr:row>
      <xdr:rowOff>443865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670AC8-45C5-4067-A94F-303D63BF88F8}"/>
            </a:ext>
          </a:extLst>
        </xdr:cNvPr>
        <xdr:cNvSpPr/>
      </xdr:nvSpPr>
      <xdr:spPr>
        <a:xfrm>
          <a:off x="2141855" y="66675"/>
          <a:ext cx="914400" cy="37719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CVM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lobeint.sharepoint.com/sites/CRM-FXD/Shared%20Documents/CRM/NSW(North)_12-Month%20Calendar%20Planner%20V4.xlsm" TargetMode="External"/><Relationship Id="rId1" Type="http://schemas.openxmlformats.org/officeDocument/2006/relationships/externalLinkPath" Target="NSW(North)_12-Month%20Calendar%20Planner%20V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N:\FXD\FXD%20SALES\PLANNER\NSW(Metro)_12-Month%20calendar%20MASTER%20V3%20.xlsm" TargetMode="External"/><Relationship Id="rId1" Type="http://schemas.openxmlformats.org/officeDocument/2006/relationships/externalLinkPath" Target="NSW(Metro)_12-Month%20calendar%20MASTER%20V3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alidation List"/>
      <sheetName val="Get Data -NSW(North)"/>
      <sheetName val="INSTRUCTIONS"/>
      <sheetName val="Database"/>
      <sheetName val="Customer Details "/>
      <sheetName val=" CVM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ECEMBER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et Data - Cust List"/>
      <sheetName val="List"/>
      <sheetName val="Database"/>
      <sheetName val=" CVM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ECEMBER"/>
    </sheetNames>
    <sheetDataSet>
      <sheetData sheetId="0"/>
      <sheetData sheetId="1"/>
      <sheetData sheetId="2"/>
      <sheetData sheetId="3">
        <row r="3">
          <cell r="E3" t="str">
            <v>ALL TRADES SAFETY &amp; WORKWEAR SUPPLIES</v>
          </cell>
        </row>
        <row r="4">
          <cell r="E4" t="str">
            <v>ALLABOUT WORKWEAR</v>
          </cell>
        </row>
        <row r="5">
          <cell r="E5" t="str">
            <v>ALLIN INTERNATIONAL PTY LTD t/as GP UNIFORMS</v>
          </cell>
        </row>
        <row r="6">
          <cell r="E6" t="str">
            <v>AUSWORKWEAR BANKSTOWN</v>
          </cell>
        </row>
        <row r="7">
          <cell r="E7" t="str">
            <v>BL SAFETY AND WORKWEAR PTY LTD</v>
          </cell>
        </row>
        <row r="8">
          <cell r="E8" t="str">
            <v>BRANDWORX</v>
          </cell>
        </row>
        <row r="9">
          <cell r="E9" t="str">
            <v>CHABRA ENTERPRISES PTY LTD</v>
          </cell>
        </row>
        <row r="10">
          <cell r="E10" t="str">
            <v>CUMBERS PTY LTD - AT THE COALFACE WORKWEAR &amp; SAFE</v>
          </cell>
        </row>
        <row r="11">
          <cell r="E11" t="str">
            <v>DISTINCTIVE IMAGE (req updated app)</v>
          </cell>
        </row>
        <row r="12">
          <cell r="E12" t="str">
            <v>FEDERAL WORKWEAR - BONDI JUNCTION</v>
          </cell>
        </row>
        <row r="13">
          <cell r="E13" t="str">
            <v xml:space="preserve">HIGHLINE SURF PTY LTD &amp; ZINK SURF PTY LTD </v>
          </cell>
        </row>
        <row r="14">
          <cell r="E14" t="str">
            <v>HORTON APPAREL P/L T/AS WG7 workgear &amp; safety foot</v>
          </cell>
        </row>
        <row r="15">
          <cell r="E15" t="str">
            <v>ITM NSW PTY LTD t/as ONE CLICK INDUSTRIAL &amp; SAFETY</v>
          </cell>
        </row>
        <row r="16">
          <cell r="E16" t="str">
            <v>JOHNSON BROS INVESTMENTS (AVALON) P/L</v>
          </cell>
        </row>
        <row r="17">
          <cell r="E17" t="str">
            <v>LJ INTERNATIONAL CHAIN PTY LTD t/as WORK PLUS</v>
          </cell>
        </row>
        <row r="18">
          <cell r="E18" t="str">
            <v>MANCAVE WORKWEAR, LIVERPOOL</v>
          </cell>
        </row>
        <row r="19">
          <cell r="E19" t="str">
            <v>OJEMA GROUP P/L t/as TOTALLY WORKWEAR BROOKVALE</v>
          </cell>
        </row>
        <row r="20">
          <cell r="E20" t="str">
            <v>OJEMA GROUP P/L t/as TOTALLY WORKWEAR MASCOT</v>
          </cell>
        </row>
        <row r="21">
          <cell r="E21" t="str">
            <v>OJEMA GROUP P/L t/as TOTALLY WORKWEAR ROSEBERY</v>
          </cell>
        </row>
        <row r="22">
          <cell r="E22" t="str">
            <v>OJEMA GROUP P/L t/as TOTALLY WORKWEAR WOLLONGONG</v>
          </cell>
        </row>
        <row r="23">
          <cell r="E23" t="str">
            <v>PINNACLE WORKWEAR AND UINFORMS P/L</v>
          </cell>
        </row>
        <row r="24">
          <cell r="E24" t="str">
            <v>PINNACLE WORKWEAR AND UNIFORMS PTY LTD, MITTAGONG</v>
          </cell>
        </row>
        <row r="25">
          <cell r="E25" t="str">
            <v>PINNACLE WORKWEAR AND UNIFORMS PTY LTD, VINEYARD</v>
          </cell>
        </row>
        <row r="26">
          <cell r="E26" t="str">
            <v>PRECISION APPAREL SERVICES</v>
          </cell>
        </row>
        <row r="27">
          <cell r="E27" t="str">
            <v>RIMMI PTY LTD t/as VOSS STORE</v>
          </cell>
        </row>
        <row r="28">
          <cell r="E28" t="str">
            <v>RJ WORKWEAR P/L t/as INDUSTRIAL WORKWEAR VINEYARD</v>
          </cell>
        </row>
        <row r="29">
          <cell r="E29" t="str">
            <v>RSEA  - PENRITH</v>
          </cell>
        </row>
        <row r="30">
          <cell r="E30" t="str">
            <v>RSEA  - WETHERILL PARK</v>
          </cell>
        </row>
        <row r="31">
          <cell r="E31" t="str">
            <v>RSEA - ALBION PARK</v>
          </cell>
        </row>
        <row r="32">
          <cell r="E32" t="str">
            <v>RSEA - AUBURN</v>
          </cell>
        </row>
        <row r="33">
          <cell r="E33" t="str">
            <v>RSEA - EASTERN CREEK</v>
          </cell>
        </row>
        <row r="34">
          <cell r="E34" t="str">
            <v>RSEA - Gregory Hills</v>
          </cell>
        </row>
        <row r="35">
          <cell r="E35" t="str">
            <v>RSEA - MARSDEN PARK</v>
          </cell>
        </row>
        <row r="36">
          <cell r="E36" t="str">
            <v>RSEA - McGraths Hill</v>
          </cell>
        </row>
        <row r="37">
          <cell r="E37" t="str">
            <v>RSEA - MINCHINBURY</v>
          </cell>
        </row>
        <row r="38">
          <cell r="E38" t="str">
            <v>RSEA - TAREN POINT</v>
          </cell>
        </row>
        <row r="39">
          <cell r="E39" t="str">
            <v xml:space="preserve">RSEA CASULA  </v>
          </cell>
        </row>
        <row r="40">
          <cell r="E40" t="str">
            <v>RSEA ROSEBERY</v>
          </cell>
        </row>
        <row r="41">
          <cell r="E41" t="str">
            <v>SGM TRADING P/L t/as FEDERAL WORKWEAR BANKS MEADOW</v>
          </cell>
        </row>
        <row r="42">
          <cell r="E42" t="str">
            <v>SOUTHLAND SUPPLY GROUP - EASTERN CREEK</v>
          </cell>
        </row>
        <row r="43">
          <cell r="E43" t="str">
            <v>SPOT ON CLOTHING GROUP P/L</v>
          </cell>
        </row>
        <row r="44">
          <cell r="E44" t="str">
            <v>SQR WORKWEAR NORTH PTY LTD</v>
          </cell>
        </row>
        <row r="45">
          <cell r="E45" t="str">
            <v>SQR WORKWEAR WEST PTY LTD</v>
          </cell>
        </row>
        <row r="46">
          <cell r="E46" t="str">
            <v>STITCHEM PTY LTD</v>
          </cell>
        </row>
        <row r="47">
          <cell r="E47" t="str">
            <v>STRICTLY WORKWEAR</v>
          </cell>
        </row>
        <row r="48">
          <cell r="E48" t="str">
            <v xml:space="preserve">THE SAFETY DEPOT </v>
          </cell>
        </row>
        <row r="49">
          <cell r="E49" t="str">
            <v>THE WORKWEAR STORE</v>
          </cell>
        </row>
        <row r="50">
          <cell r="E50" t="str">
            <v>THREE WATERS GROUP PTY LTD</v>
          </cell>
        </row>
        <row r="51">
          <cell r="E51" t="str">
            <v>TOP BRAND SHOES /  SNEAKERROOM</v>
          </cell>
        </row>
        <row r="52">
          <cell r="E52" t="str">
            <v>TOTALLY WORKWEAR KIRRAWEE</v>
          </cell>
        </row>
        <row r="53">
          <cell r="E53" t="str">
            <v>TOTALLY WORKWEAR NARELLAN</v>
          </cell>
        </row>
        <row r="54">
          <cell r="E54" t="str">
            <v>TOTALLY WORKWEAR PARRAMATTA</v>
          </cell>
        </row>
        <row r="55">
          <cell r="E55" t="str">
            <v>TOTALLY WORKWEAR RYDALMERE</v>
          </cell>
        </row>
        <row r="56">
          <cell r="E56" t="str">
            <v>ULTIMATE WORKWEAR PTY  LTD</v>
          </cell>
        </row>
        <row r="57">
          <cell r="E57" t="str">
            <v>WORKIN GEAR</v>
          </cell>
        </row>
        <row r="58">
          <cell r="E58" t="str">
            <v>WORKSCENE -  BROOKVALE</v>
          </cell>
        </row>
        <row r="59">
          <cell r="E59" t="str">
            <v>WORKSCENE - BLACKTOWN</v>
          </cell>
        </row>
        <row r="60">
          <cell r="E60" t="str">
            <v xml:space="preserve">WORKSCENE - CAMPBELLTOWN </v>
          </cell>
        </row>
        <row r="61">
          <cell r="E61" t="str">
            <v>WORKSCENE - CARINGBAH</v>
          </cell>
        </row>
        <row r="62">
          <cell r="E62" t="str">
            <v>WORKSCENE - CASTLE HILL</v>
          </cell>
        </row>
        <row r="63">
          <cell r="E63" t="str">
            <v>WORKSCENE - MOOREBANK</v>
          </cell>
        </row>
        <row r="64">
          <cell r="E64" t="str">
            <v>WORKSCENE - NARELLAN</v>
          </cell>
        </row>
        <row r="65">
          <cell r="E65" t="str">
            <v>WORKSCENE - PENRITH</v>
          </cell>
        </row>
        <row r="66">
          <cell r="E66" t="str">
            <v xml:space="preserve">WORKSCENE - TEMPE </v>
          </cell>
        </row>
        <row r="67">
          <cell r="E67" t="str">
            <v>WORKSCENE - VILLAWOOD</v>
          </cell>
        </row>
        <row r="68">
          <cell r="E68" t="str">
            <v>WOW SKATE CO P/L  t/as WORLD OF WHEELCRAFT</v>
          </cell>
        </row>
        <row r="69">
          <cell r="E69" t="str">
            <v>YUDESIGN PTY LTD t/as TOP QUALITY WORK WEAR</v>
          </cell>
        </row>
        <row r="70">
          <cell r="E70">
            <v>0</v>
          </cell>
        </row>
        <row r="71">
          <cell r="E71">
            <v>0</v>
          </cell>
        </row>
        <row r="72">
          <cell r="E72">
            <v>0</v>
          </cell>
        </row>
        <row r="73">
          <cell r="E73">
            <v>0</v>
          </cell>
        </row>
        <row r="74">
          <cell r="E74">
            <v>0</v>
          </cell>
        </row>
        <row r="75">
          <cell r="E75">
            <v>0</v>
          </cell>
        </row>
        <row r="76">
          <cell r="E76">
            <v>0</v>
          </cell>
        </row>
        <row r="77">
          <cell r="E77">
            <v>0</v>
          </cell>
        </row>
        <row r="78">
          <cell r="E78">
            <v>0</v>
          </cell>
        </row>
        <row r="79">
          <cell r="E79">
            <v>0</v>
          </cell>
        </row>
        <row r="80">
          <cell r="E80">
            <v>0</v>
          </cell>
        </row>
        <row r="81">
          <cell r="E81">
            <v>0</v>
          </cell>
        </row>
        <row r="82">
          <cell r="E82">
            <v>0</v>
          </cell>
        </row>
        <row r="83">
          <cell r="E83">
            <v>0</v>
          </cell>
        </row>
        <row r="84">
          <cell r="E84">
            <v>0</v>
          </cell>
        </row>
        <row r="85">
          <cell r="E85">
            <v>0</v>
          </cell>
        </row>
        <row r="86">
          <cell r="E86">
            <v>0</v>
          </cell>
        </row>
        <row r="87">
          <cell r="E87">
            <v>0</v>
          </cell>
        </row>
        <row r="88">
          <cell r="E88">
            <v>0</v>
          </cell>
        </row>
        <row r="89">
          <cell r="E89">
            <v>0</v>
          </cell>
        </row>
        <row r="90">
          <cell r="E90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174ECE1-ED37-4BEE-AE57-C57999AE037F}" autoFormatId="16" applyNumberFormats="0" applyBorderFormats="0" applyFontFormats="0" applyPatternFormats="0" applyAlignmentFormats="0" applyWidthHeightFormats="0">
  <queryTableRefresh nextId="9">
    <queryTableFields count="8">
      <queryTableField id="1" name="Territory" tableColumnId="1"/>
      <queryTableField id="2" name="Group" tableColumnId="2"/>
      <queryTableField id="3" name="Group 2 IWS" tableColumnId="3"/>
      <queryTableField id="4" name="IWS Codes" tableColumnId="4"/>
      <queryTableField id="5" name="Customer Number" tableColumnId="5"/>
      <queryTableField id="6" name="Customer Name" tableColumnId="6"/>
      <queryTableField id="7" name="OLD Value" tableColumnId="7"/>
      <queryTableField id="8" name="Old Nam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8CDF56-0B66-46A6-A0B7-3DA1BBD66A18}" name="NSW_North" displayName="NSW_North" ref="A1:H56" tableType="queryTable" totalsRowShown="0" headerRowDxfId="221" dataDxfId="220">
  <autoFilter ref="A1:H56" xr:uid="{E260DC46-9D7B-440E-B0C4-B5844D145B83}"/>
  <tableColumns count="8">
    <tableColumn id="1" xr3:uid="{E9349A92-BE49-4872-9F41-081A967ABF5D}" uniqueName="1" name="Territory" queryTableFieldId="1" dataDxfId="219"/>
    <tableColumn id="2" xr3:uid="{D28A5D46-760C-4617-B64F-F02B0CD3DF1E}" uniqueName="2" name="Group" queryTableFieldId="2" dataDxfId="218"/>
    <tableColumn id="3" xr3:uid="{DCE09E83-7F99-4232-8B8A-3FC32D521A38}" uniqueName="3" name="Group 2 IWS" queryTableFieldId="3" dataDxfId="217"/>
    <tableColumn id="4" xr3:uid="{7E184ADA-E2A8-424B-9A50-D34A26651042}" uniqueName="4" name="IWS Codes" queryTableFieldId="4" dataDxfId="216"/>
    <tableColumn id="5" xr3:uid="{0D3BBED2-A023-4B7C-9337-1EA457E6587B}" uniqueName="5" name="Customer Number" queryTableFieldId="5" dataDxfId="215"/>
    <tableColumn id="6" xr3:uid="{91678B4F-89FF-4CEA-97BF-75775496AFCB}" uniqueName="6" name="Customer Name" queryTableFieldId="6" dataDxfId="214"/>
    <tableColumn id="7" xr3:uid="{4C406762-79E7-44CF-A060-21F9204FDC8E}" uniqueName="7" name="OLD Value" queryTableFieldId="7" dataDxfId="213"/>
    <tableColumn id="8" xr3:uid="{D23400BF-C019-4CD3-A6F5-7331E6349DF2}" uniqueName="8" name="Old Name" queryTableFieldId="8" dataDxfId="2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A560B0-4F3A-4D6F-BE0D-4225D20687DB}" name="Table3" displayName="Table3" ref="A4:AP63" totalsRowShown="0" headerRowDxfId="211" tableBorderDxfId="210">
  <autoFilter ref="A4:AP63" xr:uid="{97A560B0-4F3A-4D6F-BE0D-4225D20687DB}"/>
  <tableColumns count="42">
    <tableColumn id="1" xr3:uid="{5FB3D7B3-F4FD-4240-9437-09765B05485F}" name="STORE ADDRESS 1" dataDxfId="209">
      <calculatedColumnFormula>_xlfn.XLOOKUP($V5,'Customer Details '!$A:$A,'Customer Details '!F:F," ",0)</calculatedColumnFormula>
    </tableColumn>
    <tableColumn id="2" xr3:uid="{32167F22-AB88-4D16-AEA8-EDC673E996E7}" name="STORE ADDRESS 2" dataDxfId="208">
      <calculatedColumnFormula>_xlfn.XLOOKUP($V5,'Customer Details '!$A:$A,'Customer Details '!G:G," ",0)</calculatedColumnFormula>
    </tableColumn>
    <tableColumn id="3" xr3:uid="{9D97BB46-EB35-464E-BB2B-935352B8DF82}" name="CITY " dataDxfId="207">
      <calculatedColumnFormula>_xlfn.XLOOKUP($V5,'Customer Details '!$A:$A,'Customer Details '!H:H," ",0)</calculatedColumnFormula>
    </tableColumn>
    <tableColumn id="4" xr3:uid="{F528EBA9-B4DD-4A4E-9E24-FAF6E12A3B1D}" name="STATE" dataDxfId="206">
      <calculatedColumnFormula>_xlfn.XLOOKUP($V5,'Customer Details '!$A:$A,'Customer Details '!I:I," ",0)</calculatedColumnFormula>
    </tableColumn>
    <tableColumn id="5" xr3:uid="{F8FEB44F-72C7-45F9-94D2-33FA209B4266}" name="POSTCODE" dataDxfId="205">
      <calculatedColumnFormula>_xlfn.XLOOKUP($V5,'Customer Details '!$A:$A,'Customer Details '!J:J," ",0)</calculatedColumnFormula>
    </tableColumn>
    <tableColumn id="6" xr3:uid="{5C62AE41-56E8-408C-9E4E-7A785E0C070E}" name="COUNTRY" dataDxfId="204">
      <calculatedColumnFormula>_xlfn.XLOOKUP($V5,'Customer Details '!$A:$A,'Customer Details '!K:K," ",0)</calculatedColumnFormula>
    </tableColumn>
    <tableColumn id="7" xr3:uid="{5194B43C-14F7-48C0-B636-8191316D1198}" name="MAIN CONTACT " dataDxfId="203">
      <calculatedColumnFormula>_xlfn.XLOOKUP($V5,'Customer Details '!$A:$A,'Customer Details '!L:L," ",0)</calculatedColumnFormula>
    </tableColumn>
    <tableColumn id="9" xr3:uid="{4047C4EB-2B40-41DE-9D3D-D9EB28A2DF75}" name="OWNER NAME" dataDxfId="202"/>
    <tableColumn id="10" xr3:uid="{28B1F5B3-391E-4E93-87E0-08DA178EE953}" name="OWNER PHONE " dataDxfId="201"/>
    <tableColumn id="11" xr3:uid="{209C899F-752F-4487-B6F8-E7E836D3D3F8}" name="OWNER EMAIL " dataDxfId="200"/>
    <tableColumn id="12" xr3:uid="{AB8FA599-B077-42C3-A3B4-D3FA1F650531}" name="STORE MANAGER NAME" dataDxfId="199"/>
    <tableColumn id="13" xr3:uid="{92054ED6-D08D-482B-B931-259670546458}" name="STORE PHONE NUMBER" dataDxfId="198"/>
    <tableColumn id="14" xr3:uid="{1857669A-BD9F-4C28-BC8B-7EC2F778C6A5}" name="STORE EMAIL " dataDxfId="197"/>
    <tableColumn id="15" xr3:uid="{B610E707-4712-4286-A792-28B525FD7FF0}" name="MARKET MANAGER NAME" dataDxfId="196"/>
    <tableColumn id="16" xr3:uid="{5E76E5E3-1E6A-40C6-BD98-1AD07760A4C4}" name="MARKETING PHONE NUMBER" dataDxfId="195"/>
    <tableColumn id="17" xr3:uid="{C8303ACA-6282-4A90-AC96-5085A714923F}" name="MARKETING EMAIL " dataDxfId="194"/>
    <tableColumn id="18" xr3:uid="{0B3C00A4-E54A-4CBF-8751-ED5A5172C152}" name="ACCOUNT DEPT NAME" dataDxfId="193"/>
    <tableColumn id="19" xr3:uid="{1E265926-06A1-4BF2-9430-DDBAF8221FB7}" name="ACCOUNTING PHONE NUMBER" dataDxfId="192"/>
    <tableColumn id="20" xr3:uid="{983EEF41-9591-4129-856F-673ECBC290BF}" name="ACCOUNTING  EMAIL " dataDxfId="191"/>
    <tableColumn id="21" xr3:uid="{E77667FE-49EC-495D-B22B-E1F6CCE31342}" name="Door Count"/>
    <tableColumn id="22" xr3:uid="{35728663-9CBD-4D39-9ADE-08F9FD8EE438}" name="TERRITORY" dataDxfId="190">
      <calculatedColumnFormula>'Get Data -NSW(North)'!A2</calculatedColumnFormula>
    </tableColumn>
    <tableColumn id="23" xr3:uid="{294EC261-E0D0-466F-8E9D-5D384AFC8830}" name="Cust Code" dataDxfId="189">
      <calculatedColumnFormula>'Get Data -NSW(North)'!E2</calculatedColumnFormula>
    </tableColumn>
    <tableColumn id="24" xr3:uid="{8D1FCE6E-7135-41AE-8431-CF02D4C8A7D1}" name="Customer Name" dataDxfId="188">
      <calculatedColumnFormula>'Get Data -NSW(North)'!F2</calculatedColumnFormula>
    </tableColumn>
    <tableColumn id="43" xr3:uid="{80DF0795-4228-461F-8512-D8974BB49CF3}" name="TRADE NAME  " dataDxfId="187">
      <calculatedColumnFormula>_xlfn.XLOOKUP(Table3[[#This Row],[Cust Code]],'Customer Details '!A:A,'Customer Details '!M:M," ",0)</calculatedColumnFormula>
    </tableColumn>
    <tableColumn id="25" xr3:uid="{B3980E29-ACC7-4B52-9FAB-F5FB31088AA4}" name="Date of last visit" dataDxfId="186">
      <calculatedColumnFormula>_xlfn.XLOOKUP(Table3[[#This Row],[Cust Code]],' CVM'!C:C,' CVM'!H:H," ",0)</calculatedColumnFormula>
    </tableColumn>
    <tableColumn id="26" xr3:uid="{D9F15A1D-2725-4979-8A17-D10143CFD893}" name="Count of Planned" dataDxfId="185">
      <calculatedColumnFormula>_xlfn.XLOOKUP(Table3[[#This Row],[Cust Code]],' CVM'!C:C,' CVM'!I:I," ",0)</calculatedColumnFormula>
    </tableColumn>
    <tableColumn id="27" xr3:uid="{A2D72865-916F-4F4E-9FD3-C9CBF57E37AC}" name="Count of Visit" dataDxfId="184">
      <calculatedColumnFormula>_xlfn.XLOOKUP(Table3[[#This Row],[Cust Code]],' CVM'!C:C,' CVM'!J:J," ",0)</calculatedColumnFormula>
    </tableColumn>
    <tableColumn id="28" xr3:uid="{5A95198C-37E3-4D3A-AD1E-721FEDB2E0AE}" name="ACTION " dataDxfId="183"/>
    <tableColumn id="29" xr3:uid="{E505716F-DD2B-4EE7-96D7-7385A1593471}" name="STATUS " dataDxfId="182"/>
    <tableColumn id="30" xr3:uid="{EA708257-AEFA-4E5B-B179-B624D3019E43}" name="NEXT ACTION " dataDxfId="181"/>
    <tableColumn id="31" xr3:uid="{07A998C4-8FC8-4A7E-AE83-E408994745DC}" name="LAST CONTACT _x000a_[Enter dates only]" dataDxfId="180"/>
    <tableColumn id="37" xr3:uid="{F007E5BC-4F87-4C58-A9EE-683A28E934D5}" name="NOTES" dataDxfId="179"/>
    <tableColumn id="32" xr3:uid="{4AB71D66-8B67-427D-9131-FFF5D7B4A0A0}" name="ACTION 2" dataDxfId="178"/>
    <tableColumn id="33" xr3:uid="{E6B295B2-EFB8-4E6D-8182-3D434F5FC1A5}" name="STATUS 3" dataDxfId="177"/>
    <tableColumn id="34" xr3:uid="{1FC8E22B-BA8B-4852-888B-C018B0FC77B2}" name="NEXT ACTION 4" dataDxfId="176"/>
    <tableColumn id="35" xr3:uid="{8FCB5D2B-4CFF-49B4-8738-02D8330A3AFD}" name="LAST CONTACT _x000a_[Enter dates only]5" dataDxfId="175"/>
    <tableColumn id="36" xr3:uid="{18C71944-57E9-4230-A4F4-6C8413DC7822}" name="NOTES   " dataDxfId="174"/>
    <tableColumn id="38" xr3:uid="{3C82DD63-6581-49D1-AABA-099117F8EC54}" name="ACTION 22" dataDxfId="173"/>
    <tableColumn id="39" xr3:uid="{ADAEF021-0FFF-4FD5-87D0-9758DFEDDA2A}" name="STATUS 33" dataDxfId="172"/>
    <tableColumn id="40" xr3:uid="{5D7A13F3-16D8-4417-B879-80256797A35A}" name="NEXT ACTION 44" dataDxfId="171"/>
    <tableColumn id="41" xr3:uid="{26C5EE8C-74EE-47E7-90A6-C5CD96D4DE53}" name="LAST CONTACT _x000a_[Enter dates only]55" dataDxfId="170"/>
    <tableColumn id="42" xr3:uid="{0E2C1594-DE46-4455-BC0F-5C2A04BF09D8}" name="NOTES " dataDxfId="16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713496-7702-4BC7-B8D5-0F5A40113125}" name="Table1" displayName="Table1" ref="B3:AH62" totalsRowShown="0" headerRowDxfId="168" dataDxfId="167" headerRowBorderDxfId="165" tableBorderDxfId="166" totalsRowBorderDxfId="164">
  <autoFilter ref="B3:AH62" xr:uid="{9D74FB29-71C4-44A9-BDFF-0B470D29A918}"/>
  <tableColumns count="33">
    <tableColumn id="1" xr3:uid="{DBE85BEC-8868-4A8B-BC88-B7153AB7435F}" name="TERRITORY" dataDxfId="163">
      <calculatedColumnFormula>Database!#REF!</calculatedColumnFormula>
    </tableColumn>
    <tableColumn id="31" xr3:uid="{75BA14C8-F0DD-4C46-AB4D-5EB8113BACB6}" name="Cust Code" dataDxfId="162">
      <calculatedColumnFormula>Database!#REF!</calculatedColumnFormula>
    </tableColumn>
    <tableColumn id="28" xr3:uid="{DD12D427-CB3A-4928-B635-44934E7B9BA2}" name="SORT" dataDxfId="161"/>
    <tableColumn id="3" xr3:uid="{8AF06FFB-DD4B-4BF6-8911-8677C270EF7D}" name="Customer Name" dataDxfId="160">
      <calculatedColumnFormula>Database!#REF!</calculatedColumnFormula>
    </tableColumn>
    <tableColumn id="33" xr3:uid="{10701B0A-AC31-4CBD-8DA7-4846596073F1}" name="TRADE NAME" dataDxfId="159">
      <calculatedColumnFormula>Database!X5</calculatedColumnFormula>
    </tableColumn>
    <tableColumn id="32" xr3:uid="{EA6CEC2F-7948-40B4-825C-60539F3E76B8}" name="Notes/Comments" dataDxfId="158"/>
    <tableColumn id="2" xr3:uid="{52B7B6D5-1A71-443E-A282-7234938AC9E5}" name="Date of last completed visit" dataDxfId="157">
      <calculatedColumnFormula>_xlfn.LET(
 _xlpm.n,TRIM(SUBSTITUTE($C4,CHAR(160),"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calculatedColumnFormula>
    </tableColumn>
    <tableColumn id="29" xr3:uid="{89E68255-CBF6-418B-8C67-14229AE9CDF2}" name="Count of Planned" dataDxfId="156">
      <calculatedColumnFormula array="1">_xlfn.LET(
  _xlpm.r, K4:AG4,
  _xlpm.planned, _xlfn.CHOOSECOLS(_xlpm.r,1,3,5,7,9,11,13,15,17,19,21,23),
  _xlpm.t, _xlpm.planned&amp;"",
  _xlpm.d, IFERROR(--_xlpm.planned, IFERROR(DATEVALUE(IFERROR(_xlfn.TEXTAFTER(_xlpm.t,", "), _xlpm.t)), 0)),
  SUM(--(_xlpm.d&gt;0))
)</calculatedColumnFormula>
    </tableColumn>
    <tableColumn id="30" xr3:uid="{0336A616-B7B8-4D8E-BAF3-09391CA1C6B3}" name="Count of Visit" dataDxfId="155">
      <calculatedColumnFormula>COUNTIFS(' CVM'!$E$4:$E$62,$E4,' CVM'!$L$4:$L$62,TRUE)
+COUNTIFS(' CVM'!$E$4:$E$62,$E4,' CVM'!$N$4:$N$62,TRUE)
+COUNTIFS(' CVM'!$E$4:$E$62,$E4,' CVM'!$P$4:$P$62,TRUE)
+COUNTIFS(' CVM'!$E$4:$E$62,$E4,' CVM'!$R$4:$R$62,TRUE)
+COUNTIFS(' CVM'!$E$4:$E$62,$E4,' CVM'!$T$4:$T$62,TRUE)
+COUNTIFS(' CVM'!$E$4:$E$62,$E4,' CVM'!$V$4:$V$62,TRUE)
+COUNTIFS(' CVM'!$E$4:$E$62,$E4,' CVM'!$X$4:$X$62,TRUE)
+COUNTIFS(' CVM'!$E$4:$E$62,$E4,' CVM'!$Z$4:$Z$62,TRUE)
+COUNTIFS(' CVM'!$E$4:$E$62,$E4,' CVM'!$AB$4:$AB$62,TRUE)
+COUNTIFS(' CVM'!$E$4:$E$62,$E4,' CVM'!$AD$4:$AD$62,TRUE)
+COUNTIFS(' CVM'!$E$4:$E$62,$E4,' CVM'!$AF$4:$AF$62,TRUE)
+COUNTIFS(' CVM'!$E$4:$E$62,$E4,' CVM'!$AH$4:$AH$62,TRUE)</calculatedColumnFormula>
    </tableColumn>
    <tableColumn id="4" xr3:uid="{75FE8184-C067-4E6A-808E-3C99AC1C4480}" name="PLANNED JAN " dataDxfId="154"/>
    <tableColumn id="5" xr3:uid="{3B838B65-4C87-49E2-8F83-6A8CE0A59AB6}" name="COMPLETED  JAN " dataDxfId="153"/>
    <tableColumn id="6" xr3:uid="{FC7A1AC7-3431-4B07-BC26-896387D0CA32}" name="PLANNED FEB" dataDxfId="152"/>
    <tableColumn id="7" xr3:uid="{9A23E4F9-E493-4983-BF8A-8B3D0393BA99}" name="COMPLETED FEB" dataDxfId="151"/>
    <tableColumn id="8" xr3:uid="{89740CE5-1752-4F45-94A2-BC0043CD2771}" name="PLANNED MAR" dataDxfId="150"/>
    <tableColumn id="9" xr3:uid="{CB0FD103-04B9-40FD-B668-45BA8E41C8C6}" name="COMPLETED MAR" dataDxfId="149"/>
    <tableColumn id="10" xr3:uid="{AD198B32-9655-4837-9B77-CB3A22ADF0F2}" name="PLANNED APR" dataDxfId="148"/>
    <tableColumn id="11" xr3:uid="{875F6B83-4E16-444E-8CD9-327685BF83AB}" name="COMPLETED APR" dataDxfId="147"/>
    <tableColumn id="12" xr3:uid="{891961D2-8BD9-42FA-A4B7-F06F57AB6280}" name="PLANNED MAY" dataDxfId="146"/>
    <tableColumn id="13" xr3:uid="{133665E5-FB6C-4CCE-8140-F517628193F9}" name="COMPLETED MAY" dataDxfId="145"/>
    <tableColumn id="14" xr3:uid="{E0020702-4DD8-4781-8E6C-0BA018E4E49E}" name="PLANNED JUN" dataDxfId="144"/>
    <tableColumn id="15" xr3:uid="{5ED0F1F0-DC19-4957-9D0C-5D4B6A843800}" name="COMPLETED JUN" dataDxfId="143"/>
    <tableColumn id="16" xr3:uid="{7DA1F911-64CE-47AD-83D0-BE288033F634}" name="PLANNED JUL" dataDxfId="142"/>
    <tableColumn id="17" xr3:uid="{BC1F685B-2F08-45CC-874D-1C728107A0AE}" name="COMPLETED JUL" dataDxfId="141"/>
    <tableColumn id="18" xr3:uid="{37AAE295-331D-4346-8AD8-B37033D20FC8}" name="PLANNED AUG" dataDxfId="140"/>
    <tableColumn id="19" xr3:uid="{3D70966C-0F75-4611-83B6-650D34DF2050}" name="COMPLETED AUG" dataDxfId="139"/>
    <tableColumn id="20" xr3:uid="{82D68007-0103-42BC-BC33-9EFEFA5AFD04}" name="PLANNED SEP" dataDxfId="138"/>
    <tableColumn id="21" xr3:uid="{8BFED505-6D89-4589-B8C2-8F90A8A076B6}" name="COMPLETED SEP" dataDxfId="137"/>
    <tableColumn id="22" xr3:uid="{4F3EB98D-8DBE-4D18-B58F-82D2499D3DE1}" name="PLANNED OCT" dataDxfId="136"/>
    <tableColumn id="23" xr3:uid="{F5B3012C-9604-4980-B30A-5E0084B5A8A0}" name="COMPLETED OCT" dataDxfId="135"/>
    <tableColumn id="24" xr3:uid="{2B547447-D1B0-4396-8FF8-915BB4144571}" name="PLANNED NOV" dataDxfId="134"/>
    <tableColumn id="25" xr3:uid="{C6B3A219-4386-4FDA-AFDE-4278986702D1}" name="COMPLETED NOV" dataDxfId="133"/>
    <tableColumn id="26" xr3:uid="{C4F05D2D-579F-487B-B100-D637018C8EFA}" name="PLANNED DEC" dataDxfId="132"/>
    <tableColumn id="27" xr3:uid="{26AC5723-B2D9-40B5-BA90-74A80491B440}" name="COMPLETED DEC" dataDxfId="131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05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94A77D"/>
      </a:accent1>
      <a:accent2>
        <a:srgbClr val="EB870F"/>
      </a:accent2>
      <a:accent3>
        <a:srgbClr val="D7A917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1-month gold stripes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836A3-9991-407C-93CF-C7F245067675}">
  <dimension ref="A1:H56"/>
  <sheetViews>
    <sheetView workbookViewId="0">
      <selection activeCell="F25" sqref="F25"/>
    </sheetView>
  </sheetViews>
  <sheetFormatPr defaultColWidth="8.88671875" defaultRowHeight="15.75" customHeight="1"/>
  <cols>
    <col min="1" max="1" width="10.109375" style="80" bestFit="1" customWidth="1"/>
    <col min="2" max="2" width="9.6640625" style="80" bestFit="1" customWidth="1"/>
    <col min="3" max="3" width="11.88671875" style="80" bestFit="1" customWidth="1"/>
    <col min="4" max="4" width="10.5546875" style="80" bestFit="1" customWidth="1"/>
    <col min="5" max="5" width="15.5546875" style="80" bestFit="1" customWidth="1"/>
    <col min="6" max="6" width="41.109375" style="80" bestFit="1" customWidth="1"/>
    <col min="7" max="7" width="10.77734375" style="80" bestFit="1" customWidth="1"/>
    <col min="8" max="8" width="29.44140625" style="80" bestFit="1" customWidth="1"/>
    <col min="9" max="16384" width="8.88671875" style="80"/>
  </cols>
  <sheetData>
    <row r="1" spans="1:8" ht="12">
      <c r="A1" s="80" t="s">
        <v>0</v>
      </c>
      <c r="B1" s="80" t="s">
        <v>1</v>
      </c>
      <c r="C1" s="80" t="s">
        <v>2</v>
      </c>
      <c r="D1" s="80" t="s">
        <v>3</v>
      </c>
      <c r="E1" s="80" t="s">
        <v>4</v>
      </c>
      <c r="F1" s="80" t="s">
        <v>5</v>
      </c>
      <c r="G1" s="80" t="s">
        <v>6</v>
      </c>
      <c r="H1" s="80" t="s">
        <v>7</v>
      </c>
    </row>
    <row r="2" spans="1:8" ht="24">
      <c r="A2" s="80" t="s">
        <v>8</v>
      </c>
      <c r="B2" s="80" t="s">
        <v>9</v>
      </c>
      <c r="C2" s="80" t="s">
        <v>10</v>
      </c>
      <c r="D2" s="80" t="s">
        <v>11</v>
      </c>
      <c r="E2" s="80">
        <v>29631</v>
      </c>
      <c r="F2" s="80" t="s">
        <v>12</v>
      </c>
    </row>
    <row r="3" spans="1:8" ht="24">
      <c r="A3" s="80" t="s">
        <v>8</v>
      </c>
      <c r="B3" s="80" t="s">
        <v>9</v>
      </c>
      <c r="C3" s="80" t="s">
        <v>10</v>
      </c>
      <c r="D3" s="80" t="s">
        <v>13</v>
      </c>
      <c r="E3" s="80">
        <v>25784</v>
      </c>
      <c r="F3" s="80" t="s">
        <v>14</v>
      </c>
    </row>
    <row r="4" spans="1:8" ht="24">
      <c r="A4" s="80" t="s">
        <v>8</v>
      </c>
      <c r="B4" s="80" t="s">
        <v>9</v>
      </c>
      <c r="C4" s="80" t="s">
        <v>10</v>
      </c>
      <c r="D4" s="80" t="s">
        <v>15</v>
      </c>
      <c r="E4" s="80">
        <v>27358</v>
      </c>
      <c r="F4" s="80" t="s">
        <v>16</v>
      </c>
      <c r="G4" s="80">
        <v>29993</v>
      </c>
      <c r="H4" s="80" t="s">
        <v>17</v>
      </c>
    </row>
    <row r="5" spans="1:8" ht="24">
      <c r="A5" s="80" t="s">
        <v>8</v>
      </c>
      <c r="B5" s="80" t="s">
        <v>9</v>
      </c>
      <c r="C5" s="80" t="s">
        <v>10</v>
      </c>
      <c r="D5" s="80" t="s">
        <v>18</v>
      </c>
      <c r="E5" s="80">
        <v>27359</v>
      </c>
      <c r="F5" s="80" t="s">
        <v>19</v>
      </c>
      <c r="G5" s="80">
        <v>29962</v>
      </c>
      <c r="H5" s="80" t="s">
        <v>20</v>
      </c>
    </row>
    <row r="6" spans="1:8" ht="24">
      <c r="A6" s="80" t="s">
        <v>8</v>
      </c>
      <c r="B6" s="80" t="s">
        <v>21</v>
      </c>
      <c r="C6" s="80" t="s">
        <v>10</v>
      </c>
      <c r="D6" s="80" t="s">
        <v>22</v>
      </c>
      <c r="E6" s="80">
        <v>29368</v>
      </c>
      <c r="F6" s="80" t="s">
        <v>23</v>
      </c>
    </row>
    <row r="7" spans="1:8" ht="24">
      <c r="A7" s="80" t="s">
        <v>8</v>
      </c>
      <c r="B7" s="80" t="s">
        <v>24</v>
      </c>
      <c r="C7" s="80" t="s">
        <v>10</v>
      </c>
      <c r="D7" s="80" t="s">
        <v>22</v>
      </c>
      <c r="E7" s="80">
        <v>29947</v>
      </c>
      <c r="F7" s="80" t="s">
        <v>25</v>
      </c>
    </row>
    <row r="8" spans="1:8" ht="24">
      <c r="A8" s="80" t="s">
        <v>8</v>
      </c>
      <c r="B8" s="80" t="s">
        <v>26</v>
      </c>
      <c r="C8" s="80" t="s">
        <v>10</v>
      </c>
      <c r="D8" s="80" t="s">
        <v>22</v>
      </c>
      <c r="E8" s="80">
        <v>29649</v>
      </c>
      <c r="F8" s="80" t="s">
        <v>27</v>
      </c>
    </row>
    <row r="9" spans="1:8" ht="24">
      <c r="A9" s="80" t="s">
        <v>8</v>
      </c>
      <c r="B9" s="80" t="s">
        <v>21</v>
      </c>
      <c r="C9" s="80" t="s">
        <v>10</v>
      </c>
      <c r="D9" s="80" t="s">
        <v>22</v>
      </c>
      <c r="E9" s="80">
        <v>28791</v>
      </c>
      <c r="F9" s="80" t="s">
        <v>28</v>
      </c>
    </row>
    <row r="10" spans="1:8" ht="24">
      <c r="A10" s="80" t="s">
        <v>8</v>
      </c>
      <c r="B10" s="80" t="s">
        <v>21</v>
      </c>
      <c r="C10" s="80" t="s">
        <v>10</v>
      </c>
      <c r="D10" s="80" t="s">
        <v>22</v>
      </c>
      <c r="E10" s="80">
        <v>28675</v>
      </c>
      <c r="F10" s="80" t="s">
        <v>29</v>
      </c>
    </row>
    <row r="11" spans="1:8" ht="24">
      <c r="A11" s="80" t="s">
        <v>8</v>
      </c>
      <c r="B11" s="80" t="s">
        <v>30</v>
      </c>
      <c r="C11" s="80" t="s">
        <v>10</v>
      </c>
      <c r="D11" s="80" t="s">
        <v>22</v>
      </c>
      <c r="E11" s="80">
        <v>29115</v>
      </c>
      <c r="F11" s="80" t="s">
        <v>31</v>
      </c>
    </row>
    <row r="12" spans="1:8" ht="24">
      <c r="A12" s="80" t="s">
        <v>8</v>
      </c>
      <c r="B12" s="80" t="s">
        <v>9</v>
      </c>
      <c r="C12" s="80" t="s">
        <v>32</v>
      </c>
      <c r="D12" s="80" t="s">
        <v>33</v>
      </c>
      <c r="E12" s="80">
        <v>24721</v>
      </c>
      <c r="F12" s="80" t="s">
        <v>34</v>
      </c>
    </row>
    <row r="13" spans="1:8" ht="24">
      <c r="A13" s="80" t="s">
        <v>8</v>
      </c>
      <c r="B13" s="80" t="s">
        <v>9</v>
      </c>
      <c r="C13" s="80" t="s">
        <v>10</v>
      </c>
      <c r="D13" s="80" t="s">
        <v>35</v>
      </c>
      <c r="E13" s="80">
        <v>29216</v>
      </c>
      <c r="F13" s="80" t="s">
        <v>36</v>
      </c>
    </row>
    <row r="14" spans="1:8" ht="24">
      <c r="A14" s="80" t="s">
        <v>8</v>
      </c>
      <c r="B14" s="80" t="s">
        <v>9</v>
      </c>
      <c r="C14" s="80" t="s">
        <v>10</v>
      </c>
      <c r="D14" s="80" t="s">
        <v>37</v>
      </c>
      <c r="E14" s="80">
        <v>29215</v>
      </c>
      <c r="F14" s="80" t="s">
        <v>38</v>
      </c>
    </row>
    <row r="15" spans="1:8" ht="24">
      <c r="A15" s="80" t="s">
        <v>8</v>
      </c>
      <c r="B15" s="80" t="s">
        <v>21</v>
      </c>
      <c r="E15" s="80">
        <v>27536</v>
      </c>
      <c r="F15" s="80" t="s">
        <v>39</v>
      </c>
    </row>
    <row r="16" spans="1:8" ht="24">
      <c r="A16" s="80" t="s">
        <v>8</v>
      </c>
      <c r="B16" s="80" t="s">
        <v>9</v>
      </c>
      <c r="C16" s="80" t="s">
        <v>10</v>
      </c>
      <c r="D16" s="80" t="s">
        <v>40</v>
      </c>
      <c r="E16" s="80" t="s">
        <v>41</v>
      </c>
      <c r="F16" s="80" t="s">
        <v>42</v>
      </c>
    </row>
    <row r="17" spans="1:8" ht="24">
      <c r="A17" s="80" t="s">
        <v>8</v>
      </c>
      <c r="B17" s="80" t="s">
        <v>9</v>
      </c>
      <c r="C17" s="80" t="s">
        <v>10</v>
      </c>
      <c r="D17" s="80" t="s">
        <v>43</v>
      </c>
      <c r="E17" s="80" t="s">
        <v>44</v>
      </c>
      <c r="F17" s="80" t="s">
        <v>45</v>
      </c>
    </row>
    <row r="18" spans="1:8" ht="24">
      <c r="A18" s="80" t="s">
        <v>8</v>
      </c>
      <c r="B18" s="80" t="s">
        <v>9</v>
      </c>
      <c r="C18" s="80" t="s">
        <v>10</v>
      </c>
      <c r="D18" s="80" t="s">
        <v>46</v>
      </c>
      <c r="E18" s="80">
        <v>29986</v>
      </c>
      <c r="F18" s="80" t="s">
        <v>47</v>
      </c>
    </row>
    <row r="19" spans="1:8" ht="24">
      <c r="A19" s="80" t="s">
        <v>8</v>
      </c>
      <c r="B19" s="80" t="s">
        <v>24</v>
      </c>
      <c r="C19" s="80" t="s">
        <v>10</v>
      </c>
      <c r="D19" s="80" t="s">
        <v>22</v>
      </c>
      <c r="E19" s="80">
        <v>23966</v>
      </c>
      <c r="F19" s="80" t="s">
        <v>48</v>
      </c>
    </row>
    <row r="20" spans="1:8" ht="24">
      <c r="A20" s="80" t="s">
        <v>8</v>
      </c>
      <c r="B20" s="80" t="s">
        <v>9</v>
      </c>
      <c r="C20" s="80" t="s">
        <v>10</v>
      </c>
      <c r="D20" s="80" t="s">
        <v>49</v>
      </c>
      <c r="E20" s="80">
        <v>29767</v>
      </c>
      <c r="F20" s="80" t="s">
        <v>50</v>
      </c>
    </row>
    <row r="21" spans="1:8" ht="24">
      <c r="A21" s="80" t="s">
        <v>8</v>
      </c>
      <c r="B21" s="80" t="s">
        <v>24</v>
      </c>
      <c r="C21" s="80" t="s">
        <v>10</v>
      </c>
      <c r="D21" s="80" t="s">
        <v>22</v>
      </c>
      <c r="E21" s="80">
        <v>28975</v>
      </c>
      <c r="F21" s="80" t="s">
        <v>51</v>
      </c>
    </row>
    <row r="22" spans="1:8" ht="24">
      <c r="A22" s="80" t="s">
        <v>8</v>
      </c>
      <c r="B22" s="80" t="s">
        <v>24</v>
      </c>
      <c r="C22" s="80" t="s">
        <v>10</v>
      </c>
      <c r="D22" s="80" t="s">
        <v>22</v>
      </c>
      <c r="E22" s="80">
        <v>29441</v>
      </c>
      <c r="F22" s="80" t="s">
        <v>52</v>
      </c>
    </row>
    <row r="23" spans="1:8" ht="24">
      <c r="A23" s="80" t="s">
        <v>8</v>
      </c>
      <c r="B23" s="80" t="s">
        <v>24</v>
      </c>
      <c r="C23" s="80" t="s">
        <v>10</v>
      </c>
      <c r="D23" s="80" t="s">
        <v>22</v>
      </c>
      <c r="E23" s="80">
        <v>28965</v>
      </c>
      <c r="F23" s="80" t="s">
        <v>53</v>
      </c>
    </row>
    <row r="24" spans="1:8" ht="24">
      <c r="A24" s="80" t="s">
        <v>8</v>
      </c>
      <c r="B24" s="80" t="s">
        <v>24</v>
      </c>
      <c r="C24" s="80" t="s">
        <v>10</v>
      </c>
      <c r="D24" s="80" t="s">
        <v>22</v>
      </c>
      <c r="E24" s="80">
        <v>29335</v>
      </c>
      <c r="F24" s="80" t="s">
        <v>54</v>
      </c>
    </row>
    <row r="25" spans="1:8" ht="24">
      <c r="A25" s="80" t="s">
        <v>8</v>
      </c>
      <c r="B25" s="80" t="s">
        <v>24</v>
      </c>
      <c r="C25" s="80" t="s">
        <v>10</v>
      </c>
      <c r="D25" s="80" t="s">
        <v>22</v>
      </c>
      <c r="E25" s="80">
        <v>28573</v>
      </c>
      <c r="F25" s="80" t="s">
        <v>55</v>
      </c>
    </row>
    <row r="26" spans="1:8" ht="24">
      <c r="A26" s="80" t="s">
        <v>8</v>
      </c>
      <c r="B26" s="80" t="s">
        <v>24</v>
      </c>
      <c r="C26" s="80" t="s">
        <v>10</v>
      </c>
      <c r="D26" s="80" t="s">
        <v>22</v>
      </c>
      <c r="E26" s="80">
        <v>29466</v>
      </c>
      <c r="F26" s="80" t="s">
        <v>56</v>
      </c>
    </row>
    <row r="27" spans="1:8" ht="24">
      <c r="A27" s="80" t="s">
        <v>8</v>
      </c>
      <c r="B27" s="80" t="s">
        <v>24</v>
      </c>
      <c r="E27" s="80">
        <v>27364</v>
      </c>
      <c r="F27" s="80" t="s">
        <v>57</v>
      </c>
    </row>
    <row r="28" spans="1:8" ht="24">
      <c r="A28" s="80" t="s">
        <v>8</v>
      </c>
      <c r="B28" s="80" t="s">
        <v>24</v>
      </c>
      <c r="C28" s="80" t="s">
        <v>10</v>
      </c>
      <c r="D28" s="80" t="s">
        <v>22</v>
      </c>
      <c r="E28" s="80">
        <v>23967</v>
      </c>
      <c r="F28" s="80" t="s">
        <v>58</v>
      </c>
    </row>
    <row r="29" spans="1:8" ht="24">
      <c r="A29" s="80" t="s">
        <v>8</v>
      </c>
      <c r="B29" s="80" t="s">
        <v>9</v>
      </c>
      <c r="C29" s="80" t="s">
        <v>10</v>
      </c>
      <c r="D29" s="80" t="s">
        <v>59</v>
      </c>
      <c r="E29" s="80">
        <v>25735</v>
      </c>
      <c r="F29" s="80" t="s">
        <v>60</v>
      </c>
    </row>
    <row r="30" spans="1:8" ht="24">
      <c r="A30" s="80" t="s">
        <v>8</v>
      </c>
      <c r="B30" s="80" t="s">
        <v>9</v>
      </c>
      <c r="C30" s="80" t="s">
        <v>10</v>
      </c>
      <c r="D30" s="80" t="s">
        <v>61</v>
      </c>
      <c r="E30" s="80">
        <v>29153</v>
      </c>
      <c r="F30" s="80" t="s">
        <v>62</v>
      </c>
    </row>
    <row r="31" spans="1:8" ht="24">
      <c r="A31" s="80" t="s">
        <v>8</v>
      </c>
      <c r="B31" s="80" t="s">
        <v>30</v>
      </c>
      <c r="C31" s="80" t="s">
        <v>10</v>
      </c>
      <c r="D31" s="80" t="s">
        <v>22</v>
      </c>
      <c r="E31" s="80">
        <v>29747</v>
      </c>
      <c r="F31" s="80" t="s">
        <v>63</v>
      </c>
      <c r="G31" s="80">
        <v>29856</v>
      </c>
      <c r="H31" s="80" t="s">
        <v>64</v>
      </c>
    </row>
    <row r="32" spans="1:8" ht="24">
      <c r="A32" s="80" t="s">
        <v>8</v>
      </c>
      <c r="B32" s="80" t="s">
        <v>9</v>
      </c>
      <c r="C32" s="80" t="s">
        <v>10</v>
      </c>
      <c r="D32" s="80" t="s">
        <v>65</v>
      </c>
      <c r="E32" s="80">
        <v>29431</v>
      </c>
      <c r="F32" s="80" t="s">
        <v>66</v>
      </c>
    </row>
    <row r="33" spans="1:7" ht="24">
      <c r="A33" s="80" t="s">
        <v>8</v>
      </c>
      <c r="B33" s="80" t="s">
        <v>9</v>
      </c>
      <c r="C33" s="80" t="s">
        <v>10</v>
      </c>
      <c r="D33" s="80" t="s">
        <v>67</v>
      </c>
      <c r="E33" s="80">
        <v>29689</v>
      </c>
      <c r="F33" s="80" t="s">
        <v>68</v>
      </c>
    </row>
    <row r="34" spans="1:7" ht="24">
      <c r="A34" s="80" t="s">
        <v>8</v>
      </c>
      <c r="B34" s="80" t="s">
        <v>21</v>
      </c>
      <c r="E34" s="80">
        <v>29654</v>
      </c>
      <c r="F34" s="80" t="s">
        <v>69</v>
      </c>
    </row>
    <row r="35" spans="1:7" ht="24">
      <c r="A35" s="80" t="s">
        <v>8</v>
      </c>
      <c r="B35" s="80" t="s">
        <v>21</v>
      </c>
      <c r="C35" s="80" t="s">
        <v>10</v>
      </c>
      <c r="D35" s="80" t="s">
        <v>22</v>
      </c>
      <c r="E35" s="80">
        <v>29788</v>
      </c>
      <c r="F35" s="80" t="s">
        <v>70</v>
      </c>
    </row>
    <row r="36" spans="1:7" ht="24">
      <c r="A36" s="80" t="s">
        <v>8</v>
      </c>
      <c r="B36" s="80" t="s">
        <v>21</v>
      </c>
      <c r="E36" s="80">
        <v>27836</v>
      </c>
      <c r="F36" s="80" t="s">
        <v>71</v>
      </c>
    </row>
    <row r="37" spans="1:7" ht="24">
      <c r="A37" s="80" t="s">
        <v>8</v>
      </c>
      <c r="B37" s="80" t="s">
        <v>9</v>
      </c>
      <c r="C37" s="80" t="s">
        <v>32</v>
      </c>
      <c r="D37" s="80" t="s">
        <v>72</v>
      </c>
      <c r="E37" s="80">
        <v>26471</v>
      </c>
      <c r="F37" s="80" t="s">
        <v>73</v>
      </c>
      <c r="G37" s="80" t="s">
        <v>74</v>
      </c>
    </row>
    <row r="38" spans="1:7" ht="24">
      <c r="A38" s="80" t="s">
        <v>8</v>
      </c>
      <c r="B38" s="80" t="s">
        <v>21</v>
      </c>
      <c r="C38" s="80" t="s">
        <v>10</v>
      </c>
      <c r="D38" s="80" t="s">
        <v>22</v>
      </c>
      <c r="E38" s="80">
        <v>29411</v>
      </c>
      <c r="F38" s="80" t="s">
        <v>75</v>
      </c>
    </row>
    <row r="39" spans="1:7" ht="24">
      <c r="A39" s="80" t="s">
        <v>8</v>
      </c>
      <c r="B39" s="80" t="s">
        <v>21</v>
      </c>
      <c r="C39" s="80" t="s">
        <v>10</v>
      </c>
      <c r="D39" s="80" t="s">
        <v>22</v>
      </c>
      <c r="E39" s="80">
        <v>29347</v>
      </c>
      <c r="F39" s="80" t="s">
        <v>76</v>
      </c>
    </row>
    <row r="40" spans="1:7" ht="24">
      <c r="A40" s="80" t="s">
        <v>8</v>
      </c>
      <c r="B40" s="80" t="s">
        <v>26</v>
      </c>
      <c r="C40" s="80" t="s">
        <v>10</v>
      </c>
      <c r="D40" s="80" t="s">
        <v>22</v>
      </c>
      <c r="E40" s="80">
        <v>27756</v>
      </c>
      <c r="F40" s="80" t="s">
        <v>77</v>
      </c>
    </row>
    <row r="41" spans="1:7" ht="24">
      <c r="A41" s="80" t="s">
        <v>8</v>
      </c>
      <c r="B41" s="80" t="s">
        <v>78</v>
      </c>
      <c r="C41" s="80" t="s">
        <v>10</v>
      </c>
      <c r="D41" s="80" t="s">
        <v>22</v>
      </c>
      <c r="E41" s="80">
        <v>25909</v>
      </c>
      <c r="F41" s="80" t="s">
        <v>79</v>
      </c>
    </row>
    <row r="42" spans="1:7" ht="24">
      <c r="A42" s="80" t="s">
        <v>8</v>
      </c>
      <c r="B42" s="80" t="s">
        <v>78</v>
      </c>
      <c r="C42" s="80" t="s">
        <v>10</v>
      </c>
      <c r="D42" s="80" t="s">
        <v>22</v>
      </c>
      <c r="E42" s="80">
        <v>25736</v>
      </c>
      <c r="F42" s="80" t="s">
        <v>80</v>
      </c>
    </row>
    <row r="43" spans="1:7" ht="24">
      <c r="A43" s="80" t="s">
        <v>8</v>
      </c>
      <c r="B43" s="80" t="s">
        <v>78</v>
      </c>
      <c r="C43" s="80" t="s">
        <v>10</v>
      </c>
      <c r="D43" s="80" t="s">
        <v>22</v>
      </c>
      <c r="E43" s="80">
        <v>29991</v>
      </c>
      <c r="F43" s="80" t="s">
        <v>81</v>
      </c>
    </row>
    <row r="44" spans="1:7" ht="24">
      <c r="A44" s="80" t="s">
        <v>8</v>
      </c>
      <c r="B44" s="80" t="s">
        <v>78</v>
      </c>
      <c r="C44" s="80" t="s">
        <v>10</v>
      </c>
      <c r="D44" s="80" t="s">
        <v>22</v>
      </c>
      <c r="E44" s="80">
        <v>29817</v>
      </c>
      <c r="F44" s="80" t="s">
        <v>82</v>
      </c>
    </row>
    <row r="45" spans="1:7" ht="24">
      <c r="A45" s="80" t="s">
        <v>8</v>
      </c>
      <c r="B45" s="80" t="s">
        <v>78</v>
      </c>
      <c r="C45" s="80" t="s">
        <v>10</v>
      </c>
      <c r="D45" s="80" t="s">
        <v>22</v>
      </c>
      <c r="E45" s="80">
        <v>29896</v>
      </c>
      <c r="F45" s="80" t="s">
        <v>83</v>
      </c>
    </row>
    <row r="46" spans="1:7" ht="24">
      <c r="A46" s="80" t="s">
        <v>8</v>
      </c>
      <c r="B46" s="80" t="s">
        <v>9</v>
      </c>
      <c r="C46" s="80" t="s">
        <v>10</v>
      </c>
      <c r="D46" s="80" t="s">
        <v>84</v>
      </c>
      <c r="E46" s="80">
        <v>28955</v>
      </c>
      <c r="F46" s="80" t="s">
        <v>85</v>
      </c>
    </row>
    <row r="47" spans="1:7" ht="24">
      <c r="A47" s="80" t="s">
        <v>8</v>
      </c>
      <c r="B47" s="80" t="s">
        <v>9</v>
      </c>
      <c r="C47" s="80" t="s">
        <v>10</v>
      </c>
      <c r="D47" s="80" t="s">
        <v>86</v>
      </c>
      <c r="E47" s="80">
        <v>27869</v>
      </c>
      <c r="F47" s="80" t="s">
        <v>87</v>
      </c>
    </row>
    <row r="48" spans="1:7" ht="24">
      <c r="A48" s="80" t="s">
        <v>8</v>
      </c>
      <c r="B48" s="80" t="s">
        <v>9</v>
      </c>
      <c r="C48" s="80" t="s">
        <v>10</v>
      </c>
      <c r="D48" s="80" t="s">
        <v>88</v>
      </c>
      <c r="E48" s="80">
        <v>29673</v>
      </c>
      <c r="F48" s="80" t="s">
        <v>89</v>
      </c>
    </row>
    <row r="49" spans="1:6" ht="24">
      <c r="A49" s="80" t="s">
        <v>8</v>
      </c>
      <c r="B49" s="80" t="s">
        <v>30</v>
      </c>
      <c r="C49" s="80" t="s">
        <v>10</v>
      </c>
      <c r="D49" s="80" t="s">
        <v>22</v>
      </c>
      <c r="E49" s="80">
        <v>29121</v>
      </c>
      <c r="F49" s="80" t="s">
        <v>90</v>
      </c>
    </row>
    <row r="50" spans="1:6" ht="24">
      <c r="A50" s="80" t="s">
        <v>8</v>
      </c>
      <c r="B50" s="80" t="s">
        <v>30</v>
      </c>
      <c r="C50" s="80" t="s">
        <v>10</v>
      </c>
      <c r="D50" s="80" t="s">
        <v>22</v>
      </c>
      <c r="E50" s="80">
        <v>29956</v>
      </c>
      <c r="F50" s="80" t="s">
        <v>91</v>
      </c>
    </row>
    <row r="51" spans="1:6" ht="24">
      <c r="A51" s="80" t="s">
        <v>8</v>
      </c>
      <c r="B51" s="80" t="s">
        <v>30</v>
      </c>
      <c r="C51" s="80" t="s">
        <v>10</v>
      </c>
      <c r="D51" s="80" t="s">
        <v>22</v>
      </c>
      <c r="E51" s="80">
        <v>29858</v>
      </c>
      <c r="F51" s="80" t="s">
        <v>92</v>
      </c>
    </row>
    <row r="52" spans="1:6" ht="24">
      <c r="A52" s="80" t="s">
        <v>8</v>
      </c>
      <c r="B52" s="80" t="s">
        <v>9</v>
      </c>
      <c r="C52" s="80" t="s">
        <v>10</v>
      </c>
      <c r="D52" s="80" t="s">
        <v>93</v>
      </c>
      <c r="E52" s="80">
        <v>29442</v>
      </c>
      <c r="F52" s="80" t="s">
        <v>94</v>
      </c>
    </row>
    <row r="53" spans="1:6" ht="24">
      <c r="A53" s="80" t="s">
        <v>8</v>
      </c>
      <c r="B53" s="80" t="s">
        <v>21</v>
      </c>
      <c r="C53" s="80" t="s">
        <v>10</v>
      </c>
      <c r="D53" s="80" t="s">
        <v>22</v>
      </c>
      <c r="E53" s="80">
        <v>29471</v>
      </c>
      <c r="F53" s="80" t="s">
        <v>95</v>
      </c>
    </row>
    <row r="54" spans="1:6" ht="24">
      <c r="A54" s="80" t="s">
        <v>8</v>
      </c>
      <c r="B54" s="80" t="s">
        <v>9</v>
      </c>
      <c r="C54" s="80" t="s">
        <v>32</v>
      </c>
      <c r="D54" s="80" t="s">
        <v>96</v>
      </c>
      <c r="E54" s="80">
        <v>27354</v>
      </c>
      <c r="F54" s="80" t="s">
        <v>97</v>
      </c>
    </row>
    <row r="55" spans="1:6" ht="24">
      <c r="A55" s="80" t="s">
        <v>8</v>
      </c>
      <c r="B55" s="80" t="s">
        <v>9</v>
      </c>
      <c r="C55" s="80" t="s">
        <v>32</v>
      </c>
      <c r="D55" s="80" t="s">
        <v>98</v>
      </c>
      <c r="E55" s="80">
        <v>27357</v>
      </c>
      <c r="F55" s="80" t="s">
        <v>99</v>
      </c>
    </row>
    <row r="56" spans="1:6" ht="24">
      <c r="A56" s="80" t="s">
        <v>8</v>
      </c>
      <c r="B56" s="80" t="s">
        <v>9</v>
      </c>
      <c r="C56" s="80" t="s">
        <v>10</v>
      </c>
      <c r="D56" s="80" t="s">
        <v>100</v>
      </c>
      <c r="E56" s="80">
        <v>27564</v>
      </c>
      <c r="F56" s="80" t="s">
        <v>101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608C-80B3-45C8-AEB9-824D77AF76C2}">
  <dimension ref="A1:Y77"/>
  <sheetViews>
    <sheetView workbookViewId="0">
      <selection activeCell="F25" sqref="F25"/>
    </sheetView>
  </sheetViews>
  <sheetFormatPr defaultRowHeight="14.45"/>
  <cols>
    <col min="13" max="13" width="32.77734375" bestFit="1" customWidth="1"/>
  </cols>
  <sheetData>
    <row r="1" spans="1:25" ht="15" thickBot="1">
      <c r="A1" s="246"/>
      <c r="B1" s="246"/>
      <c r="C1" s="246"/>
      <c r="D1" s="246"/>
      <c r="E1" s="246"/>
      <c r="F1" s="247" t="s">
        <v>102</v>
      </c>
      <c r="G1" s="248"/>
      <c r="H1" s="248"/>
      <c r="I1" s="248"/>
      <c r="J1" s="248"/>
      <c r="K1" s="248"/>
      <c r="L1" s="248"/>
      <c r="M1" s="249"/>
      <c r="N1" s="279" t="s">
        <v>103</v>
      </c>
      <c r="O1" s="279"/>
      <c r="P1" s="279"/>
      <c r="Q1" s="279" t="s">
        <v>104</v>
      </c>
      <c r="R1" s="279"/>
      <c r="S1" s="279"/>
      <c r="T1" s="279" t="s">
        <v>105</v>
      </c>
      <c r="U1" s="279"/>
      <c r="V1" s="279"/>
      <c r="W1" s="279" t="s">
        <v>106</v>
      </c>
      <c r="X1" s="279"/>
      <c r="Y1" s="279"/>
    </row>
    <row r="2" spans="1:25" ht="31.5">
      <c r="A2" s="250" t="s">
        <v>107</v>
      </c>
      <c r="B2" s="251" t="s">
        <v>108</v>
      </c>
      <c r="C2" s="251" t="s">
        <v>109</v>
      </c>
      <c r="D2" s="251" t="s">
        <v>110</v>
      </c>
      <c r="E2" s="251" t="s">
        <v>111</v>
      </c>
      <c r="F2" s="252" t="s">
        <v>112</v>
      </c>
      <c r="G2" s="252" t="s">
        <v>113</v>
      </c>
      <c r="H2" s="252" t="s">
        <v>114</v>
      </c>
      <c r="I2" s="252" t="s">
        <v>115</v>
      </c>
      <c r="J2" s="252" t="s">
        <v>116</v>
      </c>
      <c r="K2" s="252" t="s">
        <v>117</v>
      </c>
      <c r="L2" s="252" t="s">
        <v>118</v>
      </c>
      <c r="M2" s="252" t="s">
        <v>119</v>
      </c>
      <c r="N2" s="253" t="s">
        <v>120</v>
      </c>
      <c r="O2" s="254" t="s">
        <v>121</v>
      </c>
      <c r="P2" s="254" t="s">
        <v>122</v>
      </c>
      <c r="Q2" s="254" t="s">
        <v>123</v>
      </c>
      <c r="R2" s="254" t="s">
        <v>124</v>
      </c>
      <c r="S2" s="254" t="s">
        <v>125</v>
      </c>
      <c r="T2" s="254" t="s">
        <v>126</v>
      </c>
      <c r="U2" s="254" t="s">
        <v>127</v>
      </c>
      <c r="V2" s="254" t="s">
        <v>128</v>
      </c>
      <c r="W2" s="254" t="s">
        <v>129</v>
      </c>
      <c r="X2" s="254" t="s">
        <v>130</v>
      </c>
      <c r="Y2" s="254" t="s">
        <v>131</v>
      </c>
    </row>
    <row r="3" spans="1:25">
      <c r="A3" s="250">
        <v>20018</v>
      </c>
      <c r="B3" s="250" t="s">
        <v>132</v>
      </c>
      <c r="C3" s="250" t="s">
        <v>132</v>
      </c>
      <c r="D3" s="250" t="s">
        <v>8</v>
      </c>
      <c r="E3" s="250" t="s">
        <v>133</v>
      </c>
      <c r="F3" s="250" t="s">
        <v>134</v>
      </c>
      <c r="G3" s="250" t="s">
        <v>135</v>
      </c>
      <c r="H3" s="250" t="s">
        <v>136</v>
      </c>
      <c r="I3" s="250" t="s">
        <v>137</v>
      </c>
      <c r="J3" s="250" t="s">
        <v>138</v>
      </c>
      <c r="K3" s="250" t="s">
        <v>139</v>
      </c>
      <c r="L3" s="250" t="s">
        <v>140</v>
      </c>
      <c r="M3" s="250" t="s">
        <v>141</v>
      </c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</row>
    <row r="4" spans="1:25">
      <c r="A4" s="250">
        <v>23966</v>
      </c>
      <c r="B4" s="250" t="s">
        <v>142</v>
      </c>
      <c r="C4" s="250" t="s">
        <v>142</v>
      </c>
      <c r="D4" s="250" t="s">
        <v>8</v>
      </c>
      <c r="E4" s="250" t="s">
        <v>133</v>
      </c>
      <c r="F4" s="250" t="s">
        <v>143</v>
      </c>
      <c r="G4" s="250" t="s">
        <v>135</v>
      </c>
      <c r="H4" s="250" t="s">
        <v>144</v>
      </c>
      <c r="I4" s="250" t="s">
        <v>137</v>
      </c>
      <c r="J4" s="250" t="s">
        <v>145</v>
      </c>
      <c r="K4" s="250" t="s">
        <v>139</v>
      </c>
      <c r="L4" s="250" t="s">
        <v>146</v>
      </c>
      <c r="M4" s="250" t="s">
        <v>147</v>
      </c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</row>
    <row r="5" spans="1:25">
      <c r="A5" s="250">
        <v>23967</v>
      </c>
      <c r="B5" s="250" t="s">
        <v>148</v>
      </c>
      <c r="C5" s="250" t="s">
        <v>142</v>
      </c>
      <c r="D5" s="250" t="s">
        <v>8</v>
      </c>
      <c r="E5" s="250" t="s">
        <v>133</v>
      </c>
      <c r="F5" s="250" t="s">
        <v>149</v>
      </c>
      <c r="G5" s="250" t="s">
        <v>135</v>
      </c>
      <c r="H5" s="250" t="s">
        <v>150</v>
      </c>
      <c r="I5" s="250" t="s">
        <v>137</v>
      </c>
      <c r="J5" s="250" t="s">
        <v>151</v>
      </c>
      <c r="K5" s="250" t="s">
        <v>139</v>
      </c>
      <c r="L5" s="250" t="s">
        <v>152</v>
      </c>
      <c r="M5" s="250" t="s">
        <v>58</v>
      </c>
      <c r="N5" s="246"/>
      <c r="O5" s="246"/>
      <c r="P5" s="246"/>
      <c r="Q5" s="246"/>
      <c r="R5" s="246"/>
      <c r="S5" s="246"/>
      <c r="T5" s="246"/>
      <c r="U5" s="246"/>
      <c r="V5" s="246"/>
      <c r="W5" s="246"/>
      <c r="X5" s="246"/>
      <c r="Y5" s="246"/>
    </row>
    <row r="6" spans="1:25">
      <c r="A6" s="250">
        <v>24479</v>
      </c>
      <c r="B6" s="250" t="s">
        <v>153</v>
      </c>
      <c r="C6" s="250" t="s">
        <v>153</v>
      </c>
      <c r="D6" s="250" t="s">
        <v>8</v>
      </c>
      <c r="E6" s="250" t="s">
        <v>133</v>
      </c>
      <c r="F6" s="250" t="s">
        <v>154</v>
      </c>
      <c r="G6" s="250" t="s">
        <v>152</v>
      </c>
      <c r="H6" s="250" t="s">
        <v>155</v>
      </c>
      <c r="I6" s="250" t="s">
        <v>137</v>
      </c>
      <c r="J6" s="250" t="s">
        <v>156</v>
      </c>
      <c r="K6" s="250" t="s">
        <v>139</v>
      </c>
      <c r="L6" s="250" t="s">
        <v>157</v>
      </c>
      <c r="M6" s="250" t="s">
        <v>158</v>
      </c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6"/>
    </row>
    <row r="7" spans="1:25">
      <c r="A7" s="250">
        <v>24721</v>
      </c>
      <c r="B7" s="250" t="s">
        <v>159</v>
      </c>
      <c r="C7" s="250" t="s">
        <v>159</v>
      </c>
      <c r="D7" s="250" t="s">
        <v>8</v>
      </c>
      <c r="E7" s="250" t="s">
        <v>133</v>
      </c>
      <c r="F7" s="250" t="s">
        <v>160</v>
      </c>
      <c r="G7" s="250" t="s">
        <v>152</v>
      </c>
      <c r="H7" s="250" t="s">
        <v>161</v>
      </c>
      <c r="I7" s="250" t="s">
        <v>137</v>
      </c>
      <c r="J7" s="250" t="s">
        <v>162</v>
      </c>
      <c r="K7" s="250" t="s">
        <v>139</v>
      </c>
      <c r="L7" s="250" t="s">
        <v>163</v>
      </c>
      <c r="M7" s="250" t="s">
        <v>164</v>
      </c>
      <c r="N7" s="246"/>
      <c r="O7" s="246"/>
      <c r="P7" s="246"/>
      <c r="Q7" s="246"/>
      <c r="R7" s="246"/>
      <c r="S7" s="246"/>
      <c r="T7" s="246"/>
      <c r="U7" s="246"/>
      <c r="V7" s="246"/>
      <c r="W7" s="246"/>
      <c r="X7" s="246"/>
      <c r="Y7" s="246"/>
    </row>
    <row r="8" spans="1:25">
      <c r="A8" s="250">
        <v>25673</v>
      </c>
      <c r="B8" s="250" t="s">
        <v>165</v>
      </c>
      <c r="C8" s="250" t="s">
        <v>165</v>
      </c>
      <c r="D8" s="250" t="s">
        <v>8</v>
      </c>
      <c r="E8" s="250" t="s">
        <v>133</v>
      </c>
      <c r="F8" s="250" t="s">
        <v>166</v>
      </c>
      <c r="G8" s="250" t="s">
        <v>152</v>
      </c>
      <c r="H8" s="250" t="s">
        <v>167</v>
      </c>
      <c r="I8" s="250" t="s">
        <v>137</v>
      </c>
      <c r="J8" s="250" t="s">
        <v>168</v>
      </c>
      <c r="K8" s="250" t="s">
        <v>139</v>
      </c>
      <c r="L8" s="250" t="s">
        <v>169</v>
      </c>
      <c r="M8" s="250" t="s">
        <v>170</v>
      </c>
      <c r="N8" s="246"/>
      <c r="O8" s="246"/>
      <c r="P8" s="246"/>
      <c r="Q8" s="246"/>
      <c r="R8" s="246"/>
      <c r="S8" s="246"/>
      <c r="T8" s="246"/>
      <c r="U8" s="246"/>
      <c r="V8" s="246"/>
      <c r="W8" s="246"/>
      <c r="X8" s="246"/>
      <c r="Y8" s="246"/>
    </row>
    <row r="9" spans="1:25">
      <c r="A9" s="250">
        <v>25735</v>
      </c>
      <c r="B9" s="250" t="s">
        <v>171</v>
      </c>
      <c r="C9" s="250" t="s">
        <v>171</v>
      </c>
      <c r="D9" s="250" t="s">
        <v>8</v>
      </c>
      <c r="E9" s="250" t="s">
        <v>133</v>
      </c>
      <c r="F9" s="250" t="s">
        <v>172</v>
      </c>
      <c r="G9" s="250" t="s">
        <v>135</v>
      </c>
      <c r="H9" s="250" t="s">
        <v>173</v>
      </c>
      <c r="I9" s="250" t="s">
        <v>137</v>
      </c>
      <c r="J9" s="250" t="s">
        <v>174</v>
      </c>
      <c r="K9" s="250" t="s">
        <v>139</v>
      </c>
      <c r="L9" s="250" t="s">
        <v>175</v>
      </c>
      <c r="M9" s="250" t="s">
        <v>176</v>
      </c>
      <c r="N9" s="246"/>
      <c r="O9" s="246"/>
      <c r="P9" s="246"/>
      <c r="Q9" s="246"/>
      <c r="R9" s="246"/>
      <c r="S9" s="246"/>
      <c r="T9" s="246"/>
      <c r="U9" s="246"/>
      <c r="V9" s="246"/>
      <c r="W9" s="246"/>
      <c r="X9" s="246"/>
      <c r="Y9" s="246"/>
    </row>
    <row r="10" spans="1:25">
      <c r="A10" s="250">
        <v>25736</v>
      </c>
      <c r="B10" s="250" t="s">
        <v>177</v>
      </c>
      <c r="C10" s="250" t="s">
        <v>178</v>
      </c>
      <c r="D10" s="250" t="s">
        <v>8</v>
      </c>
      <c r="E10" s="250" t="s">
        <v>133</v>
      </c>
      <c r="F10" s="250" t="s">
        <v>179</v>
      </c>
      <c r="G10" s="250" t="s">
        <v>22</v>
      </c>
      <c r="H10" s="250" t="s">
        <v>180</v>
      </c>
      <c r="I10" s="250" t="s">
        <v>137</v>
      </c>
      <c r="J10" s="250" t="s">
        <v>181</v>
      </c>
      <c r="K10" s="250" t="s">
        <v>139</v>
      </c>
      <c r="L10" s="250" t="s">
        <v>152</v>
      </c>
      <c r="M10" s="250" t="s">
        <v>182</v>
      </c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</row>
    <row r="11" spans="1:25">
      <c r="A11" s="250">
        <v>25784</v>
      </c>
      <c r="B11" s="250" t="s">
        <v>183</v>
      </c>
      <c r="C11" s="250" t="s">
        <v>184</v>
      </c>
      <c r="D11" s="250" t="s">
        <v>8</v>
      </c>
      <c r="E11" s="250" t="s">
        <v>133</v>
      </c>
      <c r="F11" s="250" t="s">
        <v>185</v>
      </c>
      <c r="G11" s="250" t="s">
        <v>152</v>
      </c>
      <c r="H11" s="250" t="s">
        <v>186</v>
      </c>
      <c r="I11" s="250" t="s">
        <v>137</v>
      </c>
      <c r="J11" s="250" t="s">
        <v>187</v>
      </c>
      <c r="K11" s="250" t="s">
        <v>139</v>
      </c>
      <c r="L11" s="250" t="s">
        <v>152</v>
      </c>
      <c r="M11" s="250" t="s">
        <v>14</v>
      </c>
      <c r="N11" s="246"/>
      <c r="O11" s="246"/>
      <c r="P11" s="246"/>
      <c r="Q11" s="246"/>
      <c r="R11" s="246"/>
      <c r="S11" s="246"/>
      <c r="T11" s="246"/>
      <c r="U11" s="246"/>
      <c r="V11" s="246"/>
      <c r="W11" s="246"/>
      <c r="X11" s="246"/>
      <c r="Y11" s="246"/>
    </row>
    <row r="12" spans="1:25">
      <c r="A12" s="250">
        <v>25909</v>
      </c>
      <c r="B12" s="250" t="s">
        <v>188</v>
      </c>
      <c r="C12" s="250" t="s">
        <v>178</v>
      </c>
      <c r="D12" s="250" t="s">
        <v>8</v>
      </c>
      <c r="E12" s="250" t="s">
        <v>133</v>
      </c>
      <c r="F12" s="250" t="s">
        <v>189</v>
      </c>
      <c r="G12" s="250" t="s">
        <v>22</v>
      </c>
      <c r="H12" s="250" t="s">
        <v>190</v>
      </c>
      <c r="I12" s="250" t="s">
        <v>137</v>
      </c>
      <c r="J12" s="250" t="s">
        <v>191</v>
      </c>
      <c r="K12" s="250" t="s">
        <v>139</v>
      </c>
      <c r="L12" s="250" t="s">
        <v>152</v>
      </c>
      <c r="M12" s="250" t="s">
        <v>192</v>
      </c>
      <c r="N12" s="246"/>
      <c r="O12" s="246"/>
      <c r="P12" s="246"/>
      <c r="Q12" s="246"/>
      <c r="R12" s="246"/>
      <c r="S12" s="246"/>
      <c r="T12" s="246"/>
      <c r="U12" s="246"/>
      <c r="V12" s="246"/>
      <c r="W12" s="246"/>
      <c r="X12" s="246"/>
      <c r="Y12" s="246"/>
    </row>
    <row r="13" spans="1:25">
      <c r="A13" s="250">
        <v>26471</v>
      </c>
      <c r="B13" s="250" t="s">
        <v>193</v>
      </c>
      <c r="C13" s="250" t="s">
        <v>193</v>
      </c>
      <c r="D13" s="250" t="s">
        <v>8</v>
      </c>
      <c r="E13" s="250" t="s">
        <v>133</v>
      </c>
      <c r="F13" s="250" t="s">
        <v>194</v>
      </c>
      <c r="G13" s="250" t="s">
        <v>152</v>
      </c>
      <c r="H13" s="250" t="s">
        <v>195</v>
      </c>
      <c r="I13" s="250" t="s">
        <v>137</v>
      </c>
      <c r="J13" s="250" t="s">
        <v>196</v>
      </c>
      <c r="K13" s="250" t="s">
        <v>139</v>
      </c>
      <c r="L13" s="250" t="s">
        <v>197</v>
      </c>
      <c r="M13" s="250" t="s">
        <v>198</v>
      </c>
      <c r="N13" s="246"/>
      <c r="O13" s="246"/>
      <c r="P13" s="246"/>
      <c r="Q13" s="246"/>
      <c r="R13" s="246"/>
      <c r="S13" s="246"/>
      <c r="T13" s="246"/>
      <c r="U13" s="246"/>
      <c r="V13" s="246"/>
      <c r="W13" s="246"/>
      <c r="X13" s="246"/>
      <c r="Y13" s="246"/>
    </row>
    <row r="14" spans="1:25">
      <c r="A14" s="250">
        <v>26530</v>
      </c>
      <c r="B14" s="250" t="s">
        <v>199</v>
      </c>
      <c r="C14" s="250" t="s">
        <v>199</v>
      </c>
      <c r="D14" s="250" t="s">
        <v>8</v>
      </c>
      <c r="E14" s="250" t="s">
        <v>133</v>
      </c>
      <c r="F14" s="250" t="s">
        <v>200</v>
      </c>
      <c r="G14" s="250" t="s">
        <v>201</v>
      </c>
      <c r="H14" s="250" t="s">
        <v>202</v>
      </c>
      <c r="I14" s="250" t="s">
        <v>137</v>
      </c>
      <c r="J14" s="250" t="s">
        <v>203</v>
      </c>
      <c r="K14" s="250" t="s">
        <v>139</v>
      </c>
      <c r="L14" s="250" t="s">
        <v>204</v>
      </c>
      <c r="M14" s="250" t="s">
        <v>205</v>
      </c>
      <c r="N14" s="246"/>
      <c r="O14" s="246"/>
      <c r="P14" s="246"/>
      <c r="Q14" s="246"/>
      <c r="R14" s="246"/>
      <c r="S14" s="246"/>
      <c r="T14" s="246"/>
      <c r="U14" s="246"/>
      <c r="V14" s="246"/>
      <c r="W14" s="246"/>
      <c r="X14" s="246"/>
      <c r="Y14" s="246"/>
    </row>
    <row r="15" spans="1:25">
      <c r="A15" s="250">
        <v>27354</v>
      </c>
      <c r="B15" s="250" t="s">
        <v>206</v>
      </c>
      <c r="C15" s="250" t="s">
        <v>206</v>
      </c>
      <c r="D15" s="250" t="s">
        <v>8</v>
      </c>
      <c r="E15" s="250" t="s">
        <v>133</v>
      </c>
      <c r="F15" s="250" t="s">
        <v>207</v>
      </c>
      <c r="G15" s="250" t="s">
        <v>152</v>
      </c>
      <c r="H15" s="250" t="s">
        <v>208</v>
      </c>
      <c r="I15" s="250" t="s">
        <v>137</v>
      </c>
      <c r="J15" s="250" t="s">
        <v>209</v>
      </c>
      <c r="K15" s="250" t="s">
        <v>139</v>
      </c>
      <c r="L15" s="250" t="s">
        <v>152</v>
      </c>
      <c r="M15" s="250" t="s">
        <v>97</v>
      </c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</row>
    <row r="16" spans="1:25">
      <c r="A16" s="250">
        <v>27357</v>
      </c>
      <c r="B16" s="250" t="s">
        <v>210</v>
      </c>
      <c r="C16" s="250" t="s">
        <v>210</v>
      </c>
      <c r="D16" s="250" t="s">
        <v>8</v>
      </c>
      <c r="E16" s="250" t="s">
        <v>133</v>
      </c>
      <c r="F16" s="250" t="s">
        <v>211</v>
      </c>
      <c r="G16" s="250" t="s">
        <v>152</v>
      </c>
      <c r="H16" s="250" t="s">
        <v>212</v>
      </c>
      <c r="I16" s="250" t="s">
        <v>137</v>
      </c>
      <c r="J16" s="250" t="s">
        <v>209</v>
      </c>
      <c r="K16" s="250" t="s">
        <v>139</v>
      </c>
      <c r="L16" s="250" t="s">
        <v>152</v>
      </c>
      <c r="M16" s="250" t="s">
        <v>99</v>
      </c>
      <c r="N16" s="246"/>
      <c r="O16" s="246"/>
      <c r="P16" s="246"/>
      <c r="Q16" s="246"/>
      <c r="R16" s="246"/>
      <c r="S16" s="246"/>
      <c r="T16" s="246"/>
      <c r="U16" s="246"/>
      <c r="V16" s="246"/>
      <c r="W16" s="246"/>
      <c r="X16" s="246"/>
      <c r="Y16" s="246"/>
    </row>
    <row r="17" spans="1:13">
      <c r="A17" s="250">
        <v>27358</v>
      </c>
      <c r="B17" s="250" t="s">
        <v>184</v>
      </c>
      <c r="C17" s="250" t="s">
        <v>184</v>
      </c>
      <c r="D17" s="250" t="s">
        <v>8</v>
      </c>
      <c r="E17" s="250" t="s">
        <v>133</v>
      </c>
      <c r="F17" s="250" t="s">
        <v>213</v>
      </c>
      <c r="G17" s="250" t="s">
        <v>152</v>
      </c>
      <c r="H17" s="250" t="s">
        <v>214</v>
      </c>
      <c r="I17" s="250" t="s">
        <v>137</v>
      </c>
      <c r="J17" s="250" t="s">
        <v>215</v>
      </c>
      <c r="K17" s="250" t="s">
        <v>139</v>
      </c>
      <c r="L17" s="250" t="s">
        <v>216</v>
      </c>
      <c r="M17" s="250" t="s">
        <v>217</v>
      </c>
    </row>
    <row r="18" spans="1:13">
      <c r="A18" s="250">
        <v>27359</v>
      </c>
      <c r="B18" s="250" t="s">
        <v>218</v>
      </c>
      <c r="C18" s="250" t="s">
        <v>184</v>
      </c>
      <c r="D18" s="250" t="s">
        <v>8</v>
      </c>
      <c r="E18" s="250" t="s">
        <v>133</v>
      </c>
      <c r="F18" s="250" t="s">
        <v>219</v>
      </c>
      <c r="G18" s="250" t="s">
        <v>152</v>
      </c>
      <c r="H18" s="250" t="s">
        <v>220</v>
      </c>
      <c r="I18" s="250" t="s">
        <v>137</v>
      </c>
      <c r="J18" s="250" t="s">
        <v>221</v>
      </c>
      <c r="K18" s="250" t="s">
        <v>139</v>
      </c>
      <c r="L18" s="250" t="s">
        <v>152</v>
      </c>
      <c r="M18" s="250" t="s">
        <v>222</v>
      </c>
    </row>
    <row r="19" spans="1:13">
      <c r="A19" s="250">
        <v>27536</v>
      </c>
      <c r="B19" s="250" t="s">
        <v>223</v>
      </c>
      <c r="C19" s="250" t="s">
        <v>223</v>
      </c>
      <c r="D19" s="250" t="s">
        <v>8</v>
      </c>
      <c r="E19" s="250" t="s">
        <v>133</v>
      </c>
      <c r="F19" s="250" t="s">
        <v>224</v>
      </c>
      <c r="G19" s="250" t="s">
        <v>152</v>
      </c>
      <c r="H19" s="250" t="s">
        <v>225</v>
      </c>
      <c r="I19" s="250" t="s">
        <v>137</v>
      </c>
      <c r="J19" s="250" t="s">
        <v>226</v>
      </c>
      <c r="K19" s="250" t="s">
        <v>139</v>
      </c>
      <c r="L19" s="250" t="s">
        <v>227</v>
      </c>
      <c r="M19" s="250" t="s">
        <v>228</v>
      </c>
    </row>
    <row r="20" spans="1:13">
      <c r="A20" s="250">
        <v>27564</v>
      </c>
      <c r="B20" s="250" t="s">
        <v>229</v>
      </c>
      <c r="C20" s="250" t="s">
        <v>229</v>
      </c>
      <c r="D20" s="250" t="s">
        <v>8</v>
      </c>
      <c r="E20" s="250" t="s">
        <v>133</v>
      </c>
      <c r="F20" s="250" t="s">
        <v>230</v>
      </c>
      <c r="G20" s="250" t="s">
        <v>135</v>
      </c>
      <c r="H20" s="250" t="s">
        <v>231</v>
      </c>
      <c r="I20" s="250" t="s">
        <v>137</v>
      </c>
      <c r="J20" s="250" t="s">
        <v>232</v>
      </c>
      <c r="K20" s="250" t="s">
        <v>139</v>
      </c>
      <c r="L20" s="250" t="s">
        <v>233</v>
      </c>
      <c r="M20" s="250" t="s">
        <v>101</v>
      </c>
    </row>
    <row r="21" spans="1:13">
      <c r="A21" s="250">
        <v>27756</v>
      </c>
      <c r="B21" s="250" t="s">
        <v>234</v>
      </c>
      <c r="C21" s="250" t="s">
        <v>234</v>
      </c>
      <c r="D21" s="250" t="s">
        <v>8</v>
      </c>
      <c r="E21" s="250" t="s">
        <v>133</v>
      </c>
      <c r="F21" s="250" t="s">
        <v>235</v>
      </c>
      <c r="G21" s="250" t="s">
        <v>135</v>
      </c>
      <c r="H21" s="250" t="s">
        <v>161</v>
      </c>
      <c r="I21" s="250" t="s">
        <v>137</v>
      </c>
      <c r="J21" s="250" t="s">
        <v>162</v>
      </c>
      <c r="K21" s="250" t="s">
        <v>139</v>
      </c>
      <c r="L21" s="250" t="s">
        <v>236</v>
      </c>
      <c r="M21" s="250" t="s">
        <v>237</v>
      </c>
    </row>
    <row r="22" spans="1:13">
      <c r="A22" s="250">
        <v>27836</v>
      </c>
      <c r="B22" s="250" t="s">
        <v>238</v>
      </c>
      <c r="C22" s="250" t="s">
        <v>238</v>
      </c>
      <c r="D22" s="250" t="s">
        <v>8</v>
      </c>
      <c r="E22" s="250" t="s">
        <v>133</v>
      </c>
      <c r="F22" s="250" t="s">
        <v>239</v>
      </c>
      <c r="G22" s="250" t="s">
        <v>152</v>
      </c>
      <c r="H22" s="250" t="s">
        <v>150</v>
      </c>
      <c r="I22" s="250" t="s">
        <v>137</v>
      </c>
      <c r="J22" s="250" t="s">
        <v>151</v>
      </c>
      <c r="K22" s="250" t="s">
        <v>139</v>
      </c>
      <c r="L22" s="250" t="s">
        <v>240</v>
      </c>
      <c r="M22" s="250" t="s">
        <v>241</v>
      </c>
    </row>
    <row r="23" spans="1:13">
      <c r="A23" s="250">
        <v>27869</v>
      </c>
      <c r="B23" s="250" t="s">
        <v>242</v>
      </c>
      <c r="C23" s="250" t="s">
        <v>242</v>
      </c>
      <c r="D23" s="250" t="s">
        <v>8</v>
      </c>
      <c r="E23" s="250" t="s">
        <v>133</v>
      </c>
      <c r="F23" s="250" t="s">
        <v>243</v>
      </c>
      <c r="G23" s="250" t="s">
        <v>152</v>
      </c>
      <c r="H23" s="250" t="s">
        <v>244</v>
      </c>
      <c r="I23" s="250" t="s">
        <v>137</v>
      </c>
      <c r="J23" s="250" t="s">
        <v>245</v>
      </c>
      <c r="K23" s="250" t="s">
        <v>139</v>
      </c>
      <c r="L23" s="250" t="s">
        <v>246</v>
      </c>
      <c r="M23" s="250" t="s">
        <v>87</v>
      </c>
    </row>
    <row r="24" spans="1:13">
      <c r="A24" s="250">
        <v>28456</v>
      </c>
      <c r="B24" s="250" t="s">
        <v>247</v>
      </c>
      <c r="C24" s="250" t="s">
        <v>247</v>
      </c>
      <c r="D24" s="250" t="s">
        <v>8</v>
      </c>
      <c r="E24" s="250" t="s">
        <v>133</v>
      </c>
      <c r="F24" s="250" t="s">
        <v>248</v>
      </c>
      <c r="G24" s="250" t="s">
        <v>135</v>
      </c>
      <c r="H24" s="250" t="s">
        <v>186</v>
      </c>
      <c r="I24" s="250" t="s">
        <v>137</v>
      </c>
      <c r="J24" s="250" t="s">
        <v>187</v>
      </c>
      <c r="K24" s="250" t="s">
        <v>139</v>
      </c>
      <c r="L24" s="250" t="s">
        <v>249</v>
      </c>
      <c r="M24" s="250" t="s">
        <v>14</v>
      </c>
    </row>
    <row r="25" spans="1:13">
      <c r="A25" s="250">
        <v>28573</v>
      </c>
      <c r="B25" s="250" t="s">
        <v>250</v>
      </c>
      <c r="C25" s="250" t="s">
        <v>251</v>
      </c>
      <c r="D25" s="250" t="s">
        <v>8</v>
      </c>
      <c r="E25" s="250" t="s">
        <v>133</v>
      </c>
      <c r="F25" s="250" t="s">
        <v>252</v>
      </c>
      <c r="G25" s="250" t="s">
        <v>253</v>
      </c>
      <c r="H25" s="250" t="s">
        <v>220</v>
      </c>
      <c r="I25" s="250" t="s">
        <v>137</v>
      </c>
      <c r="J25" s="250" t="s">
        <v>221</v>
      </c>
      <c r="K25" s="250" t="s">
        <v>139</v>
      </c>
      <c r="L25" s="250" t="s">
        <v>152</v>
      </c>
      <c r="M25" s="250" t="s">
        <v>254</v>
      </c>
    </row>
    <row r="26" spans="1:13">
      <c r="A26" s="250">
        <v>28675</v>
      </c>
      <c r="B26" s="250" t="s">
        <v>255</v>
      </c>
      <c r="C26" s="250" t="s">
        <v>255</v>
      </c>
      <c r="D26" s="250" t="s">
        <v>8</v>
      </c>
      <c r="E26" s="250" t="s">
        <v>133</v>
      </c>
      <c r="F26" s="250" t="s">
        <v>256</v>
      </c>
      <c r="G26" s="250" t="s">
        <v>152</v>
      </c>
      <c r="H26" s="250" t="s">
        <v>161</v>
      </c>
      <c r="I26" s="250" t="s">
        <v>137</v>
      </c>
      <c r="J26" s="250" t="s">
        <v>162</v>
      </c>
      <c r="K26" s="250" t="s">
        <v>139</v>
      </c>
      <c r="L26" s="250" t="s">
        <v>257</v>
      </c>
      <c r="M26" s="250" t="s">
        <v>29</v>
      </c>
    </row>
    <row r="27" spans="1:13">
      <c r="A27" s="250">
        <v>28791</v>
      </c>
      <c r="B27" s="250" t="s">
        <v>258</v>
      </c>
      <c r="C27" s="250" t="s">
        <v>258</v>
      </c>
      <c r="D27" s="250" t="s">
        <v>8</v>
      </c>
      <c r="E27" s="250" t="s">
        <v>133</v>
      </c>
      <c r="F27" s="250" t="s">
        <v>259</v>
      </c>
      <c r="G27" s="250" t="s">
        <v>260</v>
      </c>
      <c r="H27" s="250" t="s">
        <v>261</v>
      </c>
      <c r="I27" s="250" t="s">
        <v>137</v>
      </c>
      <c r="J27" s="250" t="s">
        <v>262</v>
      </c>
      <c r="K27" s="250" t="s">
        <v>139</v>
      </c>
      <c r="L27" s="250" t="s">
        <v>263</v>
      </c>
      <c r="M27" s="250" t="s">
        <v>264</v>
      </c>
    </row>
    <row r="28" spans="1:13">
      <c r="A28" s="250">
        <v>28955</v>
      </c>
      <c r="B28" s="250" t="s">
        <v>265</v>
      </c>
      <c r="C28" s="250" t="s">
        <v>265</v>
      </c>
      <c r="D28" s="250" t="s">
        <v>8</v>
      </c>
      <c r="E28" s="250" t="s">
        <v>133</v>
      </c>
      <c r="F28" s="250" t="s">
        <v>266</v>
      </c>
      <c r="G28" s="250" t="s">
        <v>152</v>
      </c>
      <c r="H28" s="250" t="s">
        <v>267</v>
      </c>
      <c r="I28" s="250" t="s">
        <v>137</v>
      </c>
      <c r="J28" s="250" t="s">
        <v>268</v>
      </c>
      <c r="K28" s="250" t="s">
        <v>139</v>
      </c>
      <c r="L28" s="250" t="s">
        <v>152</v>
      </c>
      <c r="M28" s="250" t="s">
        <v>269</v>
      </c>
    </row>
    <row r="29" spans="1:13">
      <c r="A29" s="250">
        <v>28965</v>
      </c>
      <c r="B29" s="250" t="s">
        <v>251</v>
      </c>
      <c r="C29" s="250" t="s">
        <v>251</v>
      </c>
      <c r="D29" s="250" t="s">
        <v>8</v>
      </c>
      <c r="E29" s="250" t="s">
        <v>133</v>
      </c>
      <c r="F29" s="250" t="s">
        <v>270</v>
      </c>
      <c r="G29" s="250" t="s">
        <v>152</v>
      </c>
      <c r="H29" s="250" t="s">
        <v>271</v>
      </c>
      <c r="I29" s="250" t="s">
        <v>137</v>
      </c>
      <c r="J29" s="250" t="s">
        <v>272</v>
      </c>
      <c r="K29" s="250" t="s">
        <v>139</v>
      </c>
      <c r="L29" s="250" t="s">
        <v>273</v>
      </c>
      <c r="M29" s="250" t="s">
        <v>274</v>
      </c>
    </row>
    <row r="30" spans="1:13">
      <c r="A30" s="250">
        <v>28975</v>
      </c>
      <c r="B30" s="250" t="s">
        <v>275</v>
      </c>
      <c r="C30" s="250" t="s">
        <v>276</v>
      </c>
      <c r="D30" s="250" t="s">
        <v>8</v>
      </c>
      <c r="E30" s="250" t="s">
        <v>133</v>
      </c>
      <c r="F30" s="250" t="s">
        <v>277</v>
      </c>
      <c r="G30" s="250" t="s">
        <v>152</v>
      </c>
      <c r="H30" s="250" t="s">
        <v>278</v>
      </c>
      <c r="I30" s="250" t="s">
        <v>137</v>
      </c>
      <c r="J30" s="250" t="s">
        <v>191</v>
      </c>
      <c r="K30" s="250" t="s">
        <v>139</v>
      </c>
      <c r="L30" s="250" t="s">
        <v>279</v>
      </c>
      <c r="M30" s="250" t="s">
        <v>280</v>
      </c>
    </row>
    <row r="31" spans="1:13">
      <c r="A31" s="250">
        <v>29115</v>
      </c>
      <c r="B31" s="250" t="s">
        <v>281</v>
      </c>
      <c r="C31" s="250" t="s">
        <v>281</v>
      </c>
      <c r="D31" s="250" t="s">
        <v>8</v>
      </c>
      <c r="E31" s="250" t="s">
        <v>133</v>
      </c>
      <c r="F31" s="250" t="s">
        <v>282</v>
      </c>
      <c r="G31" s="250" t="s">
        <v>152</v>
      </c>
      <c r="H31" s="250" t="s">
        <v>283</v>
      </c>
      <c r="I31" s="250" t="s">
        <v>137</v>
      </c>
      <c r="J31" s="250" t="s">
        <v>284</v>
      </c>
      <c r="K31" s="250" t="s">
        <v>139</v>
      </c>
      <c r="L31" s="250" t="s">
        <v>285</v>
      </c>
      <c r="M31" s="250" t="s">
        <v>286</v>
      </c>
    </row>
    <row r="32" spans="1:13">
      <c r="A32" s="250">
        <v>29121</v>
      </c>
      <c r="B32" s="250" t="s">
        <v>287</v>
      </c>
      <c r="C32" s="250" t="s">
        <v>281</v>
      </c>
      <c r="D32" s="250" t="s">
        <v>8</v>
      </c>
      <c r="E32" s="250" t="s">
        <v>133</v>
      </c>
      <c r="F32" s="250" t="s">
        <v>288</v>
      </c>
      <c r="G32" s="250" t="s">
        <v>152</v>
      </c>
      <c r="H32" s="250" t="s">
        <v>289</v>
      </c>
      <c r="I32" s="250" t="s">
        <v>137</v>
      </c>
      <c r="J32" s="250" t="s">
        <v>290</v>
      </c>
      <c r="K32" s="250" t="s">
        <v>139</v>
      </c>
      <c r="L32" s="250" t="s">
        <v>285</v>
      </c>
      <c r="M32" s="250" t="s">
        <v>291</v>
      </c>
    </row>
    <row r="33" spans="1:13">
      <c r="A33" s="250">
        <v>29153</v>
      </c>
      <c r="B33" s="250" t="s">
        <v>292</v>
      </c>
      <c r="C33" s="250" t="s">
        <v>292</v>
      </c>
      <c r="D33" s="250" t="s">
        <v>8</v>
      </c>
      <c r="E33" s="250" t="s">
        <v>133</v>
      </c>
      <c r="F33" s="250" t="s">
        <v>293</v>
      </c>
      <c r="G33" s="250" t="s">
        <v>152</v>
      </c>
      <c r="H33" s="250" t="s">
        <v>294</v>
      </c>
      <c r="I33" s="250" t="s">
        <v>137</v>
      </c>
      <c r="J33" s="250" t="s">
        <v>295</v>
      </c>
      <c r="K33" s="250" t="s">
        <v>139</v>
      </c>
      <c r="L33" s="250" t="s">
        <v>296</v>
      </c>
      <c r="M33" s="250" t="s">
        <v>62</v>
      </c>
    </row>
    <row r="34" spans="1:13">
      <c r="A34" s="250">
        <v>29215</v>
      </c>
      <c r="B34" s="250" t="s">
        <v>297</v>
      </c>
      <c r="C34" s="250" t="s">
        <v>297</v>
      </c>
      <c r="D34" s="250" t="s">
        <v>8</v>
      </c>
      <c r="E34" s="250" t="s">
        <v>133</v>
      </c>
      <c r="F34" s="250" t="s">
        <v>298</v>
      </c>
      <c r="G34" s="250" t="s">
        <v>152</v>
      </c>
      <c r="H34" s="250" t="s">
        <v>299</v>
      </c>
      <c r="I34" s="250" t="s">
        <v>137</v>
      </c>
      <c r="J34" s="250" t="s">
        <v>300</v>
      </c>
      <c r="K34" s="250" t="s">
        <v>139</v>
      </c>
      <c r="L34" s="250" t="s">
        <v>301</v>
      </c>
      <c r="M34" s="250" t="s">
        <v>302</v>
      </c>
    </row>
    <row r="35" spans="1:13">
      <c r="A35" s="250">
        <v>29216</v>
      </c>
      <c r="B35" s="250" t="s">
        <v>303</v>
      </c>
      <c r="C35" s="250" t="s">
        <v>297</v>
      </c>
      <c r="D35" s="250" t="s">
        <v>8</v>
      </c>
      <c r="E35" s="250" t="s">
        <v>133</v>
      </c>
      <c r="F35" s="250" t="s">
        <v>304</v>
      </c>
      <c r="G35" s="250" t="s">
        <v>152</v>
      </c>
      <c r="H35" s="250" t="s">
        <v>305</v>
      </c>
      <c r="I35" s="250" t="s">
        <v>137</v>
      </c>
      <c r="J35" s="250" t="s">
        <v>306</v>
      </c>
      <c r="K35" s="250" t="s">
        <v>139</v>
      </c>
      <c r="L35" s="250" t="s">
        <v>307</v>
      </c>
      <c r="M35" s="250" t="s">
        <v>302</v>
      </c>
    </row>
    <row r="36" spans="1:13">
      <c r="A36" s="250">
        <v>29335</v>
      </c>
      <c r="B36" s="250" t="s">
        <v>308</v>
      </c>
      <c r="C36" s="250" t="s">
        <v>251</v>
      </c>
      <c r="D36" s="250" t="s">
        <v>8</v>
      </c>
      <c r="E36" s="250" t="s">
        <v>133</v>
      </c>
      <c r="F36" s="250" t="s">
        <v>309</v>
      </c>
      <c r="G36" s="250" t="s">
        <v>135</v>
      </c>
      <c r="H36" s="250" t="s">
        <v>202</v>
      </c>
      <c r="I36" s="250" t="s">
        <v>137</v>
      </c>
      <c r="J36" s="250" t="s">
        <v>203</v>
      </c>
      <c r="K36" s="250" t="s">
        <v>139</v>
      </c>
      <c r="L36" s="250" t="s">
        <v>152</v>
      </c>
      <c r="M36" s="250" t="s">
        <v>310</v>
      </c>
    </row>
    <row r="37" spans="1:13">
      <c r="A37" s="250">
        <v>29347</v>
      </c>
      <c r="B37" s="250" t="s">
        <v>311</v>
      </c>
      <c r="C37" s="250" t="s">
        <v>312</v>
      </c>
      <c r="D37" s="250" t="s">
        <v>8</v>
      </c>
      <c r="E37" s="250" t="s">
        <v>133</v>
      </c>
      <c r="F37" s="250" t="s">
        <v>313</v>
      </c>
      <c r="G37" s="250" t="s">
        <v>22</v>
      </c>
      <c r="H37" s="250" t="s">
        <v>267</v>
      </c>
      <c r="I37" s="250" t="s">
        <v>137</v>
      </c>
      <c r="J37" s="250" t="s">
        <v>268</v>
      </c>
      <c r="K37" s="250" t="s">
        <v>139</v>
      </c>
      <c r="L37" s="250" t="s">
        <v>314</v>
      </c>
      <c r="M37" s="250" t="s">
        <v>76</v>
      </c>
    </row>
    <row r="38" spans="1:13">
      <c r="A38" s="250">
        <v>29368</v>
      </c>
      <c r="B38" s="250" t="s">
        <v>315</v>
      </c>
      <c r="C38" s="250" t="s">
        <v>315</v>
      </c>
      <c r="D38" s="250" t="s">
        <v>8</v>
      </c>
      <c r="E38" s="250" t="s">
        <v>133</v>
      </c>
      <c r="F38" s="250" t="s">
        <v>316</v>
      </c>
      <c r="G38" s="250" t="s">
        <v>135</v>
      </c>
      <c r="H38" s="250" t="s">
        <v>244</v>
      </c>
      <c r="I38" s="250" t="s">
        <v>137</v>
      </c>
      <c r="J38" s="250" t="s">
        <v>245</v>
      </c>
      <c r="K38" s="250" t="s">
        <v>139</v>
      </c>
      <c r="L38" s="250" t="s">
        <v>317</v>
      </c>
      <c r="M38" s="250" t="s">
        <v>23</v>
      </c>
    </row>
    <row r="39" spans="1:13">
      <c r="A39" s="250">
        <v>29411</v>
      </c>
      <c r="B39" s="250" t="s">
        <v>312</v>
      </c>
      <c r="C39" s="250" t="s">
        <v>312</v>
      </c>
      <c r="D39" s="250" t="s">
        <v>8</v>
      </c>
      <c r="E39" s="250" t="s">
        <v>133</v>
      </c>
      <c r="F39" s="250" t="s">
        <v>318</v>
      </c>
      <c r="G39" s="250" t="s">
        <v>135</v>
      </c>
      <c r="H39" s="250" t="s">
        <v>319</v>
      </c>
      <c r="I39" s="250" t="s">
        <v>137</v>
      </c>
      <c r="J39" s="250" t="s">
        <v>320</v>
      </c>
      <c r="K39" s="250" t="s">
        <v>139</v>
      </c>
      <c r="L39" s="250" t="s">
        <v>314</v>
      </c>
      <c r="M39" s="250" t="s">
        <v>75</v>
      </c>
    </row>
    <row r="40" spans="1:13">
      <c r="A40" s="250">
        <v>29431</v>
      </c>
      <c r="B40" s="250" t="s">
        <v>321</v>
      </c>
      <c r="C40" s="250" t="s">
        <v>321</v>
      </c>
      <c r="D40" s="250" t="s">
        <v>8</v>
      </c>
      <c r="E40" s="250" t="s">
        <v>133</v>
      </c>
      <c r="F40" s="250" t="s">
        <v>322</v>
      </c>
      <c r="G40" s="250" t="s">
        <v>135</v>
      </c>
      <c r="H40" s="250" t="s">
        <v>323</v>
      </c>
      <c r="I40" s="250" t="s">
        <v>137</v>
      </c>
      <c r="J40" s="250" t="s">
        <v>324</v>
      </c>
      <c r="K40" s="250" t="s">
        <v>139</v>
      </c>
      <c r="L40" s="250" t="s">
        <v>152</v>
      </c>
      <c r="M40" s="250" t="s">
        <v>325</v>
      </c>
    </row>
    <row r="41" spans="1:13">
      <c r="A41" s="250">
        <v>29441</v>
      </c>
      <c r="B41" s="250" t="s">
        <v>326</v>
      </c>
      <c r="C41" s="250" t="s">
        <v>326</v>
      </c>
      <c r="D41" s="250" t="s">
        <v>8</v>
      </c>
      <c r="E41" s="250" t="s">
        <v>133</v>
      </c>
      <c r="F41" s="250" t="s">
        <v>327</v>
      </c>
      <c r="G41" s="250" t="s">
        <v>135</v>
      </c>
      <c r="H41" s="250" t="s">
        <v>328</v>
      </c>
      <c r="I41" s="250" t="s">
        <v>137</v>
      </c>
      <c r="J41" s="250" t="s">
        <v>329</v>
      </c>
      <c r="K41" s="250" t="s">
        <v>139</v>
      </c>
      <c r="L41" s="250" t="s">
        <v>330</v>
      </c>
      <c r="M41" s="250" t="s">
        <v>331</v>
      </c>
    </row>
    <row r="42" spans="1:13">
      <c r="A42" s="250">
        <v>29442</v>
      </c>
      <c r="B42" s="250" t="s">
        <v>332</v>
      </c>
      <c r="C42" s="250" t="s">
        <v>332</v>
      </c>
      <c r="D42" s="250" t="s">
        <v>8</v>
      </c>
      <c r="E42" s="250" t="s">
        <v>133</v>
      </c>
      <c r="F42" s="250" t="s">
        <v>333</v>
      </c>
      <c r="G42" s="250" t="s">
        <v>135</v>
      </c>
      <c r="H42" s="250" t="s">
        <v>261</v>
      </c>
      <c r="I42" s="250" t="s">
        <v>137</v>
      </c>
      <c r="J42" s="250" t="s">
        <v>262</v>
      </c>
      <c r="K42" s="250" t="s">
        <v>139</v>
      </c>
      <c r="L42" s="250" t="s">
        <v>334</v>
      </c>
      <c r="M42" s="250" t="s">
        <v>335</v>
      </c>
    </row>
    <row r="43" spans="1:13">
      <c r="A43" s="250">
        <v>29447</v>
      </c>
      <c r="B43" s="250" t="s">
        <v>336</v>
      </c>
      <c r="C43" s="250" t="s">
        <v>336</v>
      </c>
      <c r="D43" s="250" t="s">
        <v>8</v>
      </c>
      <c r="E43" s="250" t="s">
        <v>133</v>
      </c>
      <c r="F43" s="250" t="s">
        <v>337</v>
      </c>
      <c r="G43" s="250" t="s">
        <v>135</v>
      </c>
      <c r="H43" s="250" t="s">
        <v>338</v>
      </c>
      <c r="I43" s="250" t="s">
        <v>137</v>
      </c>
      <c r="J43" s="250" t="s">
        <v>339</v>
      </c>
      <c r="K43" s="250" t="s">
        <v>139</v>
      </c>
      <c r="L43" s="250" t="s">
        <v>340</v>
      </c>
      <c r="M43" s="250" t="s">
        <v>341</v>
      </c>
    </row>
    <row r="44" spans="1:13">
      <c r="A44" s="250">
        <v>29466</v>
      </c>
      <c r="B44" s="250" t="s">
        <v>342</v>
      </c>
      <c r="C44" s="250" t="s">
        <v>142</v>
      </c>
      <c r="D44" s="250" t="s">
        <v>8</v>
      </c>
      <c r="E44" s="250" t="s">
        <v>133</v>
      </c>
      <c r="F44" s="250" t="s">
        <v>343</v>
      </c>
      <c r="G44" s="250" t="s">
        <v>152</v>
      </c>
      <c r="H44" s="250" t="s">
        <v>323</v>
      </c>
      <c r="I44" s="250" t="s">
        <v>137</v>
      </c>
      <c r="J44" s="250" t="s">
        <v>324</v>
      </c>
      <c r="K44" s="250" t="s">
        <v>139</v>
      </c>
      <c r="L44" s="250" t="s">
        <v>152</v>
      </c>
      <c r="M44" s="250" t="s">
        <v>344</v>
      </c>
    </row>
    <row r="45" spans="1:13">
      <c r="A45" s="250">
        <v>29468</v>
      </c>
      <c r="B45" s="250" t="s">
        <v>345</v>
      </c>
      <c r="C45" s="250" t="s">
        <v>345</v>
      </c>
      <c r="D45" s="250" t="s">
        <v>8</v>
      </c>
      <c r="E45" s="250" t="s">
        <v>133</v>
      </c>
      <c r="F45" s="250" t="s">
        <v>346</v>
      </c>
      <c r="G45" s="250" t="s">
        <v>135</v>
      </c>
      <c r="H45" s="250" t="s">
        <v>347</v>
      </c>
      <c r="I45" s="250" t="s">
        <v>137</v>
      </c>
      <c r="J45" s="250" t="s">
        <v>348</v>
      </c>
      <c r="K45" s="250" t="s">
        <v>139</v>
      </c>
      <c r="L45" s="250" t="s">
        <v>349</v>
      </c>
      <c r="M45" s="250" t="s">
        <v>350</v>
      </c>
    </row>
    <row r="46" spans="1:13">
      <c r="A46" s="250">
        <v>29471</v>
      </c>
      <c r="B46" s="250" t="s">
        <v>351</v>
      </c>
      <c r="C46" s="250" t="s">
        <v>351</v>
      </c>
      <c r="D46" s="250" t="s">
        <v>8</v>
      </c>
      <c r="E46" s="250" t="s">
        <v>133</v>
      </c>
      <c r="F46" s="250" t="s">
        <v>352</v>
      </c>
      <c r="G46" s="250" t="s">
        <v>135</v>
      </c>
      <c r="H46" s="250" t="s">
        <v>353</v>
      </c>
      <c r="I46" s="250" t="s">
        <v>137</v>
      </c>
      <c r="J46" s="250" t="s">
        <v>354</v>
      </c>
      <c r="K46" s="250" t="s">
        <v>139</v>
      </c>
      <c r="L46" s="250" t="s">
        <v>355</v>
      </c>
      <c r="M46" s="250" t="s">
        <v>95</v>
      </c>
    </row>
    <row r="47" spans="1:13">
      <c r="A47" s="250">
        <v>29473</v>
      </c>
      <c r="B47" s="250" t="s">
        <v>356</v>
      </c>
      <c r="C47" s="250" t="s">
        <v>357</v>
      </c>
      <c r="D47" s="250" t="s">
        <v>8</v>
      </c>
      <c r="E47" s="250" t="s">
        <v>133</v>
      </c>
      <c r="F47" s="250" t="s">
        <v>358</v>
      </c>
      <c r="G47" s="250" t="s">
        <v>152</v>
      </c>
      <c r="H47" s="250" t="s">
        <v>353</v>
      </c>
      <c r="I47" s="250" t="s">
        <v>137</v>
      </c>
      <c r="J47" s="250" t="s">
        <v>354</v>
      </c>
      <c r="K47" s="250" t="s">
        <v>139</v>
      </c>
      <c r="L47" s="250" t="s">
        <v>359</v>
      </c>
      <c r="M47" s="250" t="s">
        <v>360</v>
      </c>
    </row>
    <row r="48" spans="1:13">
      <c r="A48" s="250">
        <v>29488</v>
      </c>
      <c r="B48" s="250" t="s">
        <v>361</v>
      </c>
      <c r="C48" s="250" t="s">
        <v>361</v>
      </c>
      <c r="D48" s="250" t="s">
        <v>8</v>
      </c>
      <c r="E48" s="250" t="s">
        <v>133</v>
      </c>
      <c r="F48" s="250" t="s">
        <v>207</v>
      </c>
      <c r="G48" s="250" t="s">
        <v>135</v>
      </c>
      <c r="H48" s="250" t="s">
        <v>208</v>
      </c>
      <c r="I48" s="250" t="s">
        <v>137</v>
      </c>
      <c r="J48" s="250" t="s">
        <v>209</v>
      </c>
      <c r="K48" s="250" t="s">
        <v>139</v>
      </c>
      <c r="L48" s="250" t="s">
        <v>362</v>
      </c>
      <c r="M48" s="250" t="s">
        <v>363</v>
      </c>
    </row>
    <row r="49" spans="1:13">
      <c r="A49" s="250">
        <v>29553</v>
      </c>
      <c r="B49" s="250" t="s">
        <v>364</v>
      </c>
      <c r="C49" s="250" t="s">
        <v>364</v>
      </c>
      <c r="D49" s="250" t="s">
        <v>8</v>
      </c>
      <c r="E49" s="250" t="s">
        <v>133</v>
      </c>
      <c r="F49" s="250" t="s">
        <v>172</v>
      </c>
      <c r="G49" s="250" t="s">
        <v>135</v>
      </c>
      <c r="H49" s="250" t="s">
        <v>173</v>
      </c>
      <c r="I49" s="250" t="s">
        <v>137</v>
      </c>
      <c r="J49" s="250" t="s">
        <v>174</v>
      </c>
      <c r="K49" s="250" t="s">
        <v>139</v>
      </c>
      <c r="L49" s="250" t="s">
        <v>175</v>
      </c>
      <c r="M49" s="250" t="s">
        <v>176</v>
      </c>
    </row>
    <row r="50" spans="1:13">
      <c r="A50" s="250">
        <v>29631</v>
      </c>
      <c r="B50" s="250" t="s">
        <v>365</v>
      </c>
      <c r="C50" s="250" t="s">
        <v>365</v>
      </c>
      <c r="D50" s="250" t="s">
        <v>8</v>
      </c>
      <c r="E50" s="250" t="s">
        <v>133</v>
      </c>
      <c r="F50" s="250" t="s">
        <v>366</v>
      </c>
      <c r="G50" s="250" t="s">
        <v>135</v>
      </c>
      <c r="H50" s="250" t="s">
        <v>319</v>
      </c>
      <c r="I50" s="250" t="s">
        <v>137</v>
      </c>
      <c r="J50" s="250" t="s">
        <v>320</v>
      </c>
      <c r="K50" s="250" t="s">
        <v>139</v>
      </c>
      <c r="L50" s="250" t="s">
        <v>367</v>
      </c>
      <c r="M50" s="250" t="s">
        <v>368</v>
      </c>
    </row>
    <row r="51" spans="1:13">
      <c r="A51" s="250">
        <v>29649</v>
      </c>
      <c r="B51" s="250" t="s">
        <v>369</v>
      </c>
      <c r="C51" s="250" t="s">
        <v>369</v>
      </c>
      <c r="D51" s="250" t="s">
        <v>8</v>
      </c>
      <c r="E51" s="250" t="s">
        <v>133</v>
      </c>
      <c r="F51" s="250" t="s">
        <v>370</v>
      </c>
      <c r="G51" s="250" t="s">
        <v>135</v>
      </c>
      <c r="H51" s="250" t="s">
        <v>371</v>
      </c>
      <c r="I51" s="250" t="s">
        <v>137</v>
      </c>
      <c r="J51" s="250" t="s">
        <v>372</v>
      </c>
      <c r="K51" s="250" t="s">
        <v>139</v>
      </c>
      <c r="L51" s="250" t="s">
        <v>373</v>
      </c>
      <c r="M51" s="250" t="s">
        <v>374</v>
      </c>
    </row>
    <row r="52" spans="1:13">
      <c r="A52" s="250">
        <v>29654</v>
      </c>
      <c r="B52" s="250" t="s">
        <v>375</v>
      </c>
      <c r="C52" s="250" t="s">
        <v>375</v>
      </c>
      <c r="D52" s="250" t="s">
        <v>8</v>
      </c>
      <c r="E52" s="250" t="s">
        <v>133</v>
      </c>
      <c r="F52" s="250" t="s">
        <v>239</v>
      </c>
      <c r="G52" s="250" t="s">
        <v>135</v>
      </c>
      <c r="H52" s="250" t="s">
        <v>150</v>
      </c>
      <c r="I52" s="250" t="s">
        <v>137</v>
      </c>
      <c r="J52" s="250" t="s">
        <v>151</v>
      </c>
      <c r="K52" s="250" t="s">
        <v>139</v>
      </c>
      <c r="L52" s="250" t="s">
        <v>376</v>
      </c>
      <c r="M52" s="250" t="s">
        <v>69</v>
      </c>
    </row>
    <row r="53" spans="1:13">
      <c r="A53" s="250">
        <v>29673</v>
      </c>
      <c r="B53" s="250" t="s">
        <v>377</v>
      </c>
      <c r="C53" s="250" t="s">
        <v>377</v>
      </c>
      <c r="D53" s="250" t="s">
        <v>8</v>
      </c>
      <c r="E53" s="250" t="s">
        <v>133</v>
      </c>
      <c r="F53" s="250" t="s">
        <v>378</v>
      </c>
      <c r="G53" s="250" t="s">
        <v>135</v>
      </c>
      <c r="H53" s="250" t="s">
        <v>379</v>
      </c>
      <c r="I53" s="250" t="s">
        <v>137</v>
      </c>
      <c r="J53" s="250" t="s">
        <v>380</v>
      </c>
      <c r="K53" s="250" t="s">
        <v>139</v>
      </c>
      <c r="L53" s="250" t="s">
        <v>381</v>
      </c>
      <c r="M53" s="250" t="s">
        <v>89</v>
      </c>
    </row>
    <row r="54" spans="1:13">
      <c r="A54" s="250">
        <v>29689</v>
      </c>
      <c r="B54" s="250" t="s">
        <v>382</v>
      </c>
      <c r="C54" s="250" t="s">
        <v>382</v>
      </c>
      <c r="D54" s="250" t="s">
        <v>8</v>
      </c>
      <c r="E54" s="250" t="s">
        <v>133</v>
      </c>
      <c r="F54" s="250" t="s">
        <v>383</v>
      </c>
      <c r="G54" s="250" t="s">
        <v>135</v>
      </c>
      <c r="H54" s="250" t="s">
        <v>384</v>
      </c>
      <c r="I54" s="250" t="s">
        <v>137</v>
      </c>
      <c r="J54" s="250" t="s">
        <v>385</v>
      </c>
      <c r="K54" s="250" t="s">
        <v>139</v>
      </c>
      <c r="L54" s="250" t="s">
        <v>386</v>
      </c>
      <c r="M54" s="250" t="s">
        <v>68</v>
      </c>
    </row>
    <row r="55" spans="1:13">
      <c r="A55" s="250">
        <v>29747</v>
      </c>
      <c r="B55" s="250" t="s">
        <v>387</v>
      </c>
      <c r="C55" s="250" t="s">
        <v>387</v>
      </c>
      <c r="D55" s="250" t="s">
        <v>8</v>
      </c>
      <c r="E55" s="250" t="s">
        <v>133</v>
      </c>
      <c r="F55" s="250" t="s">
        <v>388</v>
      </c>
      <c r="G55" s="250" t="s">
        <v>152</v>
      </c>
      <c r="H55" s="250" t="s">
        <v>180</v>
      </c>
      <c r="I55" s="250" t="s">
        <v>137</v>
      </c>
      <c r="J55" s="250" t="s">
        <v>181</v>
      </c>
      <c r="K55" s="250" t="s">
        <v>139</v>
      </c>
      <c r="L55" s="250" t="s">
        <v>389</v>
      </c>
      <c r="M55" s="250" t="s">
        <v>390</v>
      </c>
    </row>
    <row r="56" spans="1:13">
      <c r="A56" s="250">
        <v>29767</v>
      </c>
      <c r="B56" s="250" t="s">
        <v>391</v>
      </c>
      <c r="C56" s="250" t="s">
        <v>391</v>
      </c>
      <c r="D56" s="250" t="s">
        <v>8</v>
      </c>
      <c r="E56" s="250" t="s">
        <v>133</v>
      </c>
      <c r="F56" s="250" t="s">
        <v>392</v>
      </c>
      <c r="G56" s="250" t="s">
        <v>152</v>
      </c>
      <c r="H56" s="250" t="s">
        <v>180</v>
      </c>
      <c r="I56" s="250" t="s">
        <v>137</v>
      </c>
      <c r="J56" s="250" t="s">
        <v>181</v>
      </c>
      <c r="K56" s="250" t="s">
        <v>139</v>
      </c>
      <c r="L56" s="250" t="s">
        <v>393</v>
      </c>
      <c r="M56" s="250" t="s">
        <v>50</v>
      </c>
    </row>
    <row r="57" spans="1:13">
      <c r="A57" s="250">
        <v>29788</v>
      </c>
      <c r="B57" s="250" t="s">
        <v>394</v>
      </c>
      <c r="C57" s="250" t="s">
        <v>394</v>
      </c>
      <c r="D57" s="250" t="s">
        <v>8</v>
      </c>
      <c r="E57" s="250" t="s">
        <v>133</v>
      </c>
      <c r="F57" s="250" t="s">
        <v>395</v>
      </c>
      <c r="G57" s="250" t="s">
        <v>152</v>
      </c>
      <c r="H57" s="250" t="s">
        <v>396</v>
      </c>
      <c r="I57" s="250" t="s">
        <v>137</v>
      </c>
      <c r="J57" s="250" t="s">
        <v>397</v>
      </c>
      <c r="K57" s="250" t="s">
        <v>139</v>
      </c>
      <c r="L57" s="250" t="s">
        <v>398</v>
      </c>
      <c r="M57" s="250" t="s">
        <v>70</v>
      </c>
    </row>
    <row r="58" spans="1:13">
      <c r="A58" s="250">
        <v>29817</v>
      </c>
      <c r="B58" s="250" t="s">
        <v>399</v>
      </c>
      <c r="C58" s="250" t="s">
        <v>178</v>
      </c>
      <c r="D58" s="250" t="s">
        <v>8</v>
      </c>
      <c r="E58" s="250" t="s">
        <v>133</v>
      </c>
      <c r="F58" s="250" t="s">
        <v>400</v>
      </c>
      <c r="G58" s="250" t="s">
        <v>401</v>
      </c>
      <c r="H58" s="250" t="s">
        <v>289</v>
      </c>
      <c r="I58" s="250" t="s">
        <v>137</v>
      </c>
      <c r="J58" s="250" t="s">
        <v>290</v>
      </c>
      <c r="K58" s="250" t="s">
        <v>139</v>
      </c>
      <c r="L58" s="250" t="s">
        <v>152</v>
      </c>
      <c r="M58" s="250" t="s">
        <v>82</v>
      </c>
    </row>
    <row r="59" spans="1:13">
      <c r="A59" s="250">
        <v>29853</v>
      </c>
      <c r="B59" s="250" t="s">
        <v>402</v>
      </c>
      <c r="C59" s="250" t="s">
        <v>403</v>
      </c>
      <c r="D59" s="250" t="s">
        <v>8</v>
      </c>
      <c r="E59" s="250" t="s">
        <v>133</v>
      </c>
      <c r="F59" s="250" t="s">
        <v>404</v>
      </c>
      <c r="G59" s="250" t="s">
        <v>152</v>
      </c>
      <c r="H59" s="250" t="s">
        <v>161</v>
      </c>
      <c r="I59" s="250" t="s">
        <v>137</v>
      </c>
      <c r="J59" s="250" t="s">
        <v>162</v>
      </c>
      <c r="K59" s="250" t="s">
        <v>139</v>
      </c>
      <c r="L59" s="250" t="s">
        <v>152</v>
      </c>
      <c r="M59" s="250" t="s">
        <v>405</v>
      </c>
    </row>
    <row r="60" spans="1:13">
      <c r="A60" s="250">
        <v>29858</v>
      </c>
      <c r="B60" s="250" t="s">
        <v>406</v>
      </c>
      <c r="C60" s="250" t="s">
        <v>406</v>
      </c>
      <c r="D60" s="250" t="s">
        <v>8</v>
      </c>
      <c r="E60" s="250" t="s">
        <v>133</v>
      </c>
      <c r="F60" s="250" t="s">
        <v>407</v>
      </c>
      <c r="G60" s="250" t="s">
        <v>152</v>
      </c>
      <c r="H60" s="250" t="s">
        <v>319</v>
      </c>
      <c r="I60" s="250" t="s">
        <v>137</v>
      </c>
      <c r="J60" s="250" t="s">
        <v>320</v>
      </c>
      <c r="K60" s="250" t="s">
        <v>139</v>
      </c>
      <c r="L60" s="250" t="s">
        <v>408</v>
      </c>
      <c r="M60" s="250" t="s">
        <v>409</v>
      </c>
    </row>
    <row r="61" spans="1:13">
      <c r="A61" s="250">
        <v>29893</v>
      </c>
      <c r="B61" s="250" t="s">
        <v>410</v>
      </c>
      <c r="C61" s="250" t="s">
        <v>410</v>
      </c>
      <c r="D61" s="250" t="s">
        <v>8</v>
      </c>
      <c r="E61" s="250" t="s">
        <v>133</v>
      </c>
      <c r="F61" s="250" t="s">
        <v>411</v>
      </c>
      <c r="G61" s="250" t="s">
        <v>152</v>
      </c>
      <c r="H61" s="250" t="s">
        <v>412</v>
      </c>
      <c r="I61" s="250" t="s">
        <v>137</v>
      </c>
      <c r="J61" s="250" t="s">
        <v>413</v>
      </c>
      <c r="K61" s="250" t="s">
        <v>139</v>
      </c>
      <c r="L61" s="250" t="s">
        <v>414</v>
      </c>
      <c r="M61" s="250" t="s">
        <v>415</v>
      </c>
    </row>
    <row r="62" spans="1:13">
      <c r="A62" s="250">
        <v>29896</v>
      </c>
      <c r="B62" s="250" t="s">
        <v>416</v>
      </c>
      <c r="C62" s="250" t="s">
        <v>178</v>
      </c>
      <c r="D62" s="250" t="s">
        <v>8</v>
      </c>
      <c r="E62" s="250" t="s">
        <v>133</v>
      </c>
      <c r="F62" s="250" t="s">
        <v>417</v>
      </c>
      <c r="G62" s="250" t="s">
        <v>152</v>
      </c>
      <c r="H62" s="250" t="s">
        <v>202</v>
      </c>
      <c r="I62" s="250" t="s">
        <v>137</v>
      </c>
      <c r="J62" s="250" t="s">
        <v>203</v>
      </c>
      <c r="K62" s="250" t="s">
        <v>139</v>
      </c>
      <c r="L62" s="250" t="s">
        <v>152</v>
      </c>
      <c r="M62" s="250" t="s">
        <v>83</v>
      </c>
    </row>
    <row r="63" spans="1:13">
      <c r="A63" s="250">
        <v>29947</v>
      </c>
      <c r="B63" s="250" t="s">
        <v>276</v>
      </c>
      <c r="C63" s="250" t="s">
        <v>276</v>
      </c>
      <c r="D63" s="250" t="s">
        <v>8</v>
      </c>
      <c r="E63" s="250" t="s">
        <v>133</v>
      </c>
      <c r="F63" s="250" t="s">
        <v>418</v>
      </c>
      <c r="G63" s="250" t="s">
        <v>152</v>
      </c>
      <c r="H63" s="250" t="s">
        <v>419</v>
      </c>
      <c r="I63" s="250" t="s">
        <v>137</v>
      </c>
      <c r="J63" s="250" t="s">
        <v>420</v>
      </c>
      <c r="K63" s="250" t="s">
        <v>139</v>
      </c>
      <c r="L63" s="250" t="s">
        <v>421</v>
      </c>
      <c r="M63" s="250" t="s">
        <v>422</v>
      </c>
    </row>
    <row r="64" spans="1:13">
      <c r="A64" s="250">
        <v>29956</v>
      </c>
      <c r="B64" s="250" t="s">
        <v>423</v>
      </c>
      <c r="C64" s="250" t="s">
        <v>423</v>
      </c>
      <c r="D64" s="250" t="s">
        <v>8</v>
      </c>
      <c r="E64" s="250" t="s">
        <v>133</v>
      </c>
      <c r="F64" s="250" t="s">
        <v>424</v>
      </c>
      <c r="G64" s="250" t="s">
        <v>135</v>
      </c>
      <c r="H64" s="250" t="s">
        <v>425</v>
      </c>
      <c r="I64" s="250" t="s">
        <v>137</v>
      </c>
      <c r="J64" s="250" t="s">
        <v>426</v>
      </c>
      <c r="K64" s="250" t="s">
        <v>139</v>
      </c>
      <c r="L64" s="250" t="s">
        <v>427</v>
      </c>
      <c r="M64" s="250" t="s">
        <v>91</v>
      </c>
    </row>
    <row r="65" spans="1:13">
      <c r="A65" s="250">
        <v>29962</v>
      </c>
      <c r="B65" s="250" t="s">
        <v>428</v>
      </c>
      <c r="C65" s="250" t="s">
        <v>428</v>
      </c>
      <c r="D65" s="250" t="s">
        <v>8</v>
      </c>
      <c r="E65" s="250" t="s">
        <v>133</v>
      </c>
      <c r="F65" s="250" t="s">
        <v>219</v>
      </c>
      <c r="G65" s="250" t="s">
        <v>152</v>
      </c>
      <c r="H65" s="250" t="s">
        <v>220</v>
      </c>
      <c r="I65" s="250" t="s">
        <v>137</v>
      </c>
      <c r="J65" s="250" t="s">
        <v>221</v>
      </c>
      <c r="K65" s="250" t="s">
        <v>139</v>
      </c>
      <c r="L65" s="250" t="s">
        <v>429</v>
      </c>
      <c r="M65" s="250" t="s">
        <v>222</v>
      </c>
    </row>
    <row r="66" spans="1:13">
      <c r="A66" s="250">
        <v>29980</v>
      </c>
      <c r="B66" s="250" t="s">
        <v>430</v>
      </c>
      <c r="C66" s="250" t="s">
        <v>361</v>
      </c>
      <c r="D66" s="250" t="s">
        <v>8</v>
      </c>
      <c r="E66" s="250" t="s">
        <v>133</v>
      </c>
      <c r="F66" s="250" t="s">
        <v>431</v>
      </c>
      <c r="G66" s="250" t="s">
        <v>152</v>
      </c>
      <c r="H66" s="250" t="s">
        <v>212</v>
      </c>
      <c r="I66" s="250" t="s">
        <v>137</v>
      </c>
      <c r="J66" s="250" t="s">
        <v>432</v>
      </c>
      <c r="K66" s="250" t="s">
        <v>139</v>
      </c>
      <c r="L66" s="250" t="s">
        <v>433</v>
      </c>
      <c r="M66" s="250" t="s">
        <v>434</v>
      </c>
    </row>
    <row r="67" spans="1:13">
      <c r="A67" s="250">
        <v>29986</v>
      </c>
      <c r="B67" s="250" t="s">
        <v>357</v>
      </c>
      <c r="C67" s="250" t="s">
        <v>357</v>
      </c>
      <c r="D67" s="250" t="s">
        <v>8</v>
      </c>
      <c r="E67" s="250" t="s">
        <v>133</v>
      </c>
      <c r="F67" s="250" t="s">
        <v>435</v>
      </c>
      <c r="G67" s="250" t="s">
        <v>152</v>
      </c>
      <c r="H67" s="250" t="s">
        <v>436</v>
      </c>
      <c r="I67" s="250" t="s">
        <v>137</v>
      </c>
      <c r="J67" s="250" t="s">
        <v>354</v>
      </c>
      <c r="K67" s="250" t="s">
        <v>139</v>
      </c>
      <c r="L67" s="250" t="s">
        <v>359</v>
      </c>
      <c r="M67" s="250" t="s">
        <v>437</v>
      </c>
    </row>
    <row r="68" spans="1:13">
      <c r="A68" s="250">
        <v>29991</v>
      </c>
      <c r="B68" s="250" t="s">
        <v>438</v>
      </c>
      <c r="C68" s="250" t="s">
        <v>178</v>
      </c>
      <c r="D68" s="250" t="s">
        <v>8</v>
      </c>
      <c r="E68" s="250" t="s">
        <v>133</v>
      </c>
      <c r="F68" s="250" t="s">
        <v>439</v>
      </c>
      <c r="G68" s="250" t="s">
        <v>440</v>
      </c>
      <c r="H68" s="250" t="s">
        <v>441</v>
      </c>
      <c r="I68" s="250" t="s">
        <v>137</v>
      </c>
      <c r="J68" s="250" t="s">
        <v>174</v>
      </c>
      <c r="K68" s="250" t="s">
        <v>139</v>
      </c>
      <c r="L68" s="250" t="s">
        <v>152</v>
      </c>
      <c r="M68" s="250" t="s">
        <v>81</v>
      </c>
    </row>
    <row r="69" spans="1:13">
      <c r="A69" s="250">
        <v>29993</v>
      </c>
      <c r="B69" s="250" t="s">
        <v>442</v>
      </c>
      <c r="C69" s="250" t="s">
        <v>428</v>
      </c>
      <c r="D69" s="250" t="s">
        <v>8</v>
      </c>
      <c r="E69" s="250" t="s">
        <v>133</v>
      </c>
      <c r="F69" s="250" t="s">
        <v>443</v>
      </c>
      <c r="G69" s="250" t="s">
        <v>152</v>
      </c>
      <c r="H69" s="250" t="s">
        <v>214</v>
      </c>
      <c r="I69" s="250" t="s">
        <v>137</v>
      </c>
      <c r="J69" s="250" t="s">
        <v>215</v>
      </c>
      <c r="K69" s="250" t="s">
        <v>139</v>
      </c>
      <c r="L69" s="250" t="s">
        <v>444</v>
      </c>
      <c r="M69" s="250" t="s">
        <v>445</v>
      </c>
    </row>
    <row r="70" spans="1:13">
      <c r="A70" s="250" t="s">
        <v>41</v>
      </c>
      <c r="B70" s="250" t="s">
        <v>446</v>
      </c>
      <c r="C70" s="250" t="s">
        <v>153</v>
      </c>
      <c r="D70" s="250" t="s">
        <v>8</v>
      </c>
      <c r="E70" s="250" t="s">
        <v>133</v>
      </c>
      <c r="F70" s="250" t="s">
        <v>154</v>
      </c>
      <c r="G70" s="250" t="s">
        <v>152</v>
      </c>
      <c r="H70" s="250" t="s">
        <v>155</v>
      </c>
      <c r="I70" s="250" t="s">
        <v>137</v>
      </c>
      <c r="J70" s="250" t="s">
        <v>156</v>
      </c>
      <c r="K70" s="250" t="s">
        <v>139</v>
      </c>
      <c r="L70" s="250" t="s">
        <v>157</v>
      </c>
      <c r="M70" s="250" t="s">
        <v>158</v>
      </c>
    </row>
    <row r="71" spans="1:13">
      <c r="A71" s="250" t="s">
        <v>447</v>
      </c>
      <c r="B71" s="250" t="s">
        <v>448</v>
      </c>
      <c r="C71" s="250" t="s">
        <v>375</v>
      </c>
      <c r="D71" s="250" t="s">
        <v>8</v>
      </c>
      <c r="E71" s="250" t="s">
        <v>133</v>
      </c>
      <c r="F71" s="250" t="s">
        <v>239</v>
      </c>
      <c r="G71" s="250" t="s">
        <v>135</v>
      </c>
      <c r="H71" s="250" t="s">
        <v>150</v>
      </c>
      <c r="I71" s="250" t="s">
        <v>137</v>
      </c>
      <c r="J71" s="250" t="s">
        <v>151</v>
      </c>
      <c r="K71" s="250" t="s">
        <v>139</v>
      </c>
      <c r="L71" s="250" t="s">
        <v>376</v>
      </c>
      <c r="M71" s="250" t="s">
        <v>69</v>
      </c>
    </row>
    <row r="72" spans="1:13">
      <c r="A72" s="250" t="s">
        <v>44</v>
      </c>
      <c r="B72" s="250" t="s">
        <v>449</v>
      </c>
      <c r="C72" s="250" t="s">
        <v>410</v>
      </c>
      <c r="D72" s="250" t="s">
        <v>8</v>
      </c>
      <c r="E72" s="250" t="s">
        <v>133</v>
      </c>
      <c r="F72" s="250" t="s">
        <v>450</v>
      </c>
      <c r="G72" s="250" t="s">
        <v>152</v>
      </c>
      <c r="H72" s="250" t="s">
        <v>412</v>
      </c>
      <c r="I72" s="250" t="s">
        <v>137</v>
      </c>
      <c r="J72" s="250" t="s">
        <v>413</v>
      </c>
      <c r="K72" s="250" t="s">
        <v>139</v>
      </c>
      <c r="L72" s="250" t="s">
        <v>414</v>
      </c>
      <c r="M72" s="250" t="s">
        <v>415</v>
      </c>
    </row>
    <row r="73" spans="1:13">
      <c r="A73" s="250" t="s">
        <v>451</v>
      </c>
      <c r="B73" s="250" t="s">
        <v>452</v>
      </c>
      <c r="C73" s="250" t="s">
        <v>452</v>
      </c>
      <c r="D73" s="250" t="s">
        <v>8</v>
      </c>
      <c r="E73" s="250" t="s">
        <v>133</v>
      </c>
      <c r="F73" s="250" t="s">
        <v>453</v>
      </c>
      <c r="G73" s="250" t="s">
        <v>135</v>
      </c>
      <c r="H73" s="250" t="s">
        <v>144</v>
      </c>
      <c r="I73" s="250" t="s">
        <v>137</v>
      </c>
      <c r="J73" s="250" t="s">
        <v>145</v>
      </c>
      <c r="K73" s="250" t="s">
        <v>139</v>
      </c>
      <c r="L73" s="250" t="s">
        <v>454</v>
      </c>
      <c r="M73" s="250" t="s">
        <v>147</v>
      </c>
    </row>
    <row r="74" spans="1:13">
      <c r="A74" s="250" t="s">
        <v>455</v>
      </c>
      <c r="B74" s="250" t="s">
        <v>456</v>
      </c>
      <c r="C74" s="250" t="s">
        <v>234</v>
      </c>
      <c r="D74" s="250" t="s">
        <v>8</v>
      </c>
      <c r="E74" s="250" t="s">
        <v>133</v>
      </c>
      <c r="F74" s="250" t="s">
        <v>370</v>
      </c>
      <c r="G74" s="250" t="s">
        <v>135</v>
      </c>
      <c r="H74" s="250" t="s">
        <v>371</v>
      </c>
      <c r="I74" s="250" t="s">
        <v>137</v>
      </c>
      <c r="J74" s="250" t="s">
        <v>372</v>
      </c>
      <c r="K74" s="250" t="s">
        <v>139</v>
      </c>
      <c r="L74" s="250" t="s">
        <v>236</v>
      </c>
      <c r="M74" s="250" t="s">
        <v>374</v>
      </c>
    </row>
    <row r="75" spans="1:13">
      <c r="A75" s="250" t="s">
        <v>457</v>
      </c>
      <c r="B75" s="250" t="s">
        <v>458</v>
      </c>
      <c r="C75" s="250" t="s">
        <v>458</v>
      </c>
      <c r="D75" s="250" t="s">
        <v>8</v>
      </c>
      <c r="E75" s="250" t="s">
        <v>133</v>
      </c>
      <c r="F75" s="250" t="s">
        <v>459</v>
      </c>
      <c r="G75" s="250" t="s">
        <v>152</v>
      </c>
      <c r="H75" s="250" t="s">
        <v>261</v>
      </c>
      <c r="I75" s="250" t="s">
        <v>137</v>
      </c>
      <c r="J75" s="250" t="s">
        <v>262</v>
      </c>
      <c r="K75" s="250" t="s">
        <v>139</v>
      </c>
      <c r="L75" s="250" t="s">
        <v>460</v>
      </c>
      <c r="M75" s="250" t="s">
        <v>461</v>
      </c>
    </row>
    <row r="76" spans="1:13">
      <c r="A76" s="250" t="s">
        <v>462</v>
      </c>
      <c r="B76" s="250" t="s">
        <v>463</v>
      </c>
      <c r="C76" s="250" t="s">
        <v>463</v>
      </c>
      <c r="D76" s="250" t="s">
        <v>8</v>
      </c>
      <c r="E76" s="250" t="s">
        <v>133</v>
      </c>
      <c r="F76" s="250" t="s">
        <v>435</v>
      </c>
      <c r="G76" s="250" t="s">
        <v>152</v>
      </c>
      <c r="H76" s="250" t="s">
        <v>436</v>
      </c>
      <c r="I76" s="250" t="s">
        <v>137</v>
      </c>
      <c r="J76" s="250" t="s">
        <v>354</v>
      </c>
      <c r="K76" s="250" t="s">
        <v>139</v>
      </c>
      <c r="L76" s="250" t="s">
        <v>152</v>
      </c>
      <c r="M76" s="250" t="s">
        <v>464</v>
      </c>
    </row>
    <row r="77" spans="1:13">
      <c r="A77" s="255">
        <v>27364</v>
      </c>
      <c r="B77" s="255"/>
      <c r="C77" s="255" t="s">
        <v>22</v>
      </c>
      <c r="D77" s="255"/>
      <c r="E77" s="255"/>
      <c r="F77" s="255"/>
      <c r="G77" s="255"/>
      <c r="H77" s="255"/>
      <c r="I77" s="255"/>
      <c r="J77" s="255"/>
      <c r="K77" s="255"/>
      <c r="L77" s="255"/>
      <c r="M77" s="255" t="s">
        <v>57</v>
      </c>
    </row>
  </sheetData>
  <mergeCells count="4">
    <mergeCell ref="N1:P1"/>
    <mergeCell ref="Q1:S1"/>
    <mergeCell ref="T1:V1"/>
    <mergeCell ref="W1:Y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364FA-D113-4BEC-8C82-35FCF4C6D844}">
  <sheetPr codeName="Sheet2"/>
  <dimension ref="A3:D8"/>
  <sheetViews>
    <sheetView workbookViewId="0">
      <selection activeCell="F25" sqref="F25"/>
    </sheetView>
  </sheetViews>
  <sheetFormatPr defaultRowHeight="14.45"/>
  <cols>
    <col min="1" max="1" width="18.5546875" customWidth="1"/>
    <col min="2" max="2" width="17.109375" customWidth="1"/>
    <col min="3" max="3" width="14" customWidth="1"/>
  </cols>
  <sheetData>
    <row r="3" spans="1:4" ht="43.5">
      <c r="A3" t="s">
        <v>465</v>
      </c>
      <c r="B3" t="s">
        <v>466</v>
      </c>
      <c r="C3" t="s">
        <v>467</v>
      </c>
      <c r="D3" t="s">
        <v>468</v>
      </c>
    </row>
    <row r="4" spans="1:4">
      <c r="A4" t="s">
        <v>469</v>
      </c>
    </row>
    <row r="5" spans="1:4">
      <c r="A5" t="s">
        <v>470</v>
      </c>
      <c r="B5" t="s">
        <v>471</v>
      </c>
      <c r="C5" t="s">
        <v>472</v>
      </c>
    </row>
    <row r="6" spans="1:4">
      <c r="A6" t="s">
        <v>473</v>
      </c>
      <c r="B6" t="s">
        <v>474</v>
      </c>
      <c r="C6" t="s">
        <v>475</v>
      </c>
    </row>
    <row r="7" spans="1:4" ht="29.1">
      <c r="B7" t="s">
        <v>476</v>
      </c>
      <c r="C7" t="s">
        <v>477</v>
      </c>
    </row>
    <row r="8" spans="1:4" ht="29.1">
      <c r="C8" t="s">
        <v>478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18C7-2DAA-4EBC-8407-235FB3E3BA4F}">
  <sheetPr>
    <tabColor rgb="FFFF0000"/>
  </sheetPr>
  <dimension ref="A1:H31"/>
  <sheetViews>
    <sheetView showGridLines="0" workbookViewId="0">
      <selection activeCell="J31" sqref="J31"/>
    </sheetView>
  </sheetViews>
  <sheetFormatPr defaultRowHeight="14.45"/>
  <sheetData>
    <row r="1" spans="1:8" ht="33" customHeight="1">
      <c r="A1" s="228" t="s">
        <v>479</v>
      </c>
      <c r="B1" s="228"/>
      <c r="C1" s="228"/>
      <c r="D1" s="228"/>
      <c r="E1" s="228"/>
      <c r="F1" s="228"/>
      <c r="G1" s="228"/>
      <c r="H1" s="228"/>
    </row>
    <row r="2" spans="1:8">
      <c r="A2" s="227"/>
      <c r="B2" s="227"/>
      <c r="C2" s="227"/>
      <c r="D2" s="227"/>
      <c r="E2" s="227"/>
      <c r="F2" s="227"/>
      <c r="G2" s="227"/>
    </row>
    <row r="3" spans="1:8">
      <c r="A3" s="227"/>
      <c r="B3" s="227"/>
      <c r="C3" s="227"/>
      <c r="D3" s="227"/>
      <c r="E3" s="227"/>
      <c r="F3" s="227"/>
      <c r="G3" s="227"/>
    </row>
    <row r="4" spans="1:8">
      <c r="A4" s="227"/>
      <c r="B4" s="227"/>
      <c r="C4" s="227"/>
      <c r="D4" s="227"/>
      <c r="E4" s="227"/>
      <c r="F4" s="227"/>
      <c r="G4" s="227"/>
    </row>
    <row r="5" spans="1:8">
      <c r="A5" s="227"/>
      <c r="B5" s="227"/>
      <c r="C5" s="227"/>
      <c r="D5" s="227"/>
      <c r="E5" s="227"/>
      <c r="F5" s="227"/>
      <c r="G5" s="227"/>
    </row>
    <row r="6" spans="1:8">
      <c r="A6" s="227"/>
      <c r="B6" s="227"/>
      <c r="C6" s="227"/>
      <c r="D6" s="227"/>
      <c r="E6" s="227"/>
      <c r="F6" s="227"/>
      <c r="G6" s="227"/>
    </row>
    <row r="7" spans="1:8">
      <c r="A7" s="227"/>
      <c r="B7" s="227"/>
      <c r="C7" s="227"/>
      <c r="D7" s="227"/>
      <c r="E7" s="227"/>
      <c r="F7" s="227"/>
      <c r="G7" s="227"/>
    </row>
    <row r="8" spans="1:8">
      <c r="A8" s="227"/>
      <c r="B8" s="227"/>
      <c r="C8" s="227"/>
      <c r="D8" s="227"/>
      <c r="E8" s="227"/>
      <c r="F8" s="227"/>
      <c r="G8" s="227"/>
    </row>
    <row r="9" spans="1:8">
      <c r="A9" s="227"/>
      <c r="B9" s="227"/>
      <c r="C9" s="227"/>
      <c r="D9" s="227"/>
      <c r="E9" s="227"/>
      <c r="F9" s="227"/>
      <c r="G9" s="227"/>
    </row>
    <row r="10" spans="1:8">
      <c r="A10" s="227"/>
      <c r="B10" s="227"/>
      <c r="C10" s="227"/>
      <c r="D10" s="227"/>
      <c r="E10" s="227"/>
      <c r="F10" s="227"/>
      <c r="G10" s="227"/>
    </row>
    <row r="11" spans="1:8">
      <c r="A11" s="227"/>
      <c r="B11" s="227"/>
      <c r="C11" s="227"/>
      <c r="D11" s="227"/>
      <c r="E11" s="227"/>
      <c r="F11" s="227"/>
      <c r="G11" s="227"/>
    </row>
    <row r="12" spans="1:8">
      <c r="A12" s="227"/>
      <c r="B12" s="227"/>
      <c r="C12" s="227"/>
      <c r="D12" s="227"/>
      <c r="E12" s="227"/>
      <c r="F12" s="227"/>
      <c r="G12" s="227"/>
    </row>
    <row r="13" spans="1:8">
      <c r="A13" s="227"/>
      <c r="B13" s="227"/>
      <c r="C13" s="227"/>
      <c r="D13" s="227"/>
      <c r="E13" s="227"/>
      <c r="F13" s="227"/>
      <c r="G13" s="227"/>
    </row>
    <row r="14" spans="1:8">
      <c r="A14" s="227"/>
      <c r="B14" s="227"/>
      <c r="C14" s="227"/>
      <c r="D14" s="227"/>
      <c r="E14" s="227"/>
      <c r="F14" s="227"/>
      <c r="G14" s="227"/>
    </row>
    <row r="15" spans="1:8">
      <c r="A15" s="227"/>
      <c r="B15" s="227"/>
      <c r="C15" s="227"/>
      <c r="D15" s="227"/>
      <c r="E15" s="227"/>
      <c r="F15" s="227"/>
      <c r="G15" s="227"/>
    </row>
    <row r="16" spans="1:8">
      <c r="A16" s="227"/>
      <c r="B16" s="227"/>
      <c r="C16" s="227"/>
      <c r="D16" s="227"/>
      <c r="E16" s="227"/>
      <c r="F16" s="227"/>
      <c r="G16" s="227"/>
    </row>
    <row r="17" spans="1:7">
      <c r="A17" s="227"/>
      <c r="B17" s="227"/>
      <c r="C17" s="227"/>
      <c r="D17" s="227"/>
      <c r="E17" s="227"/>
      <c r="F17" s="227"/>
      <c r="G17" s="227"/>
    </row>
    <row r="18" spans="1:7">
      <c r="A18" s="227"/>
      <c r="B18" s="227"/>
      <c r="C18" s="227"/>
      <c r="D18" s="227"/>
      <c r="E18" s="227"/>
      <c r="F18" s="227"/>
      <c r="G18" s="227"/>
    </row>
    <row r="19" spans="1:7">
      <c r="A19" s="227"/>
      <c r="B19" s="227"/>
      <c r="C19" s="227"/>
      <c r="D19" s="227"/>
      <c r="E19" s="227"/>
      <c r="F19" s="227"/>
      <c r="G19" s="227"/>
    </row>
    <row r="20" spans="1:7">
      <c r="A20" s="227"/>
      <c r="B20" s="227"/>
      <c r="C20" s="227"/>
      <c r="D20" s="227"/>
      <c r="E20" s="227"/>
      <c r="F20" s="227"/>
      <c r="G20" s="227"/>
    </row>
    <row r="21" spans="1:7">
      <c r="A21" s="227"/>
      <c r="B21" s="227"/>
      <c r="C21" s="227"/>
      <c r="D21" s="227"/>
      <c r="E21" s="227"/>
      <c r="F21" s="227"/>
      <c r="G21" s="227"/>
    </row>
    <row r="22" spans="1:7">
      <c r="A22" s="227"/>
      <c r="B22" s="227"/>
      <c r="C22" s="227"/>
      <c r="D22" s="227"/>
      <c r="E22" s="227"/>
      <c r="F22" s="227"/>
      <c r="G22" s="227"/>
    </row>
    <row r="23" spans="1:7">
      <c r="A23" s="227"/>
      <c r="B23" s="227"/>
      <c r="C23" s="227"/>
      <c r="D23" s="227"/>
      <c r="E23" s="227"/>
      <c r="F23" s="227"/>
      <c r="G23" s="227"/>
    </row>
    <row r="24" spans="1:7">
      <c r="A24" s="227"/>
      <c r="B24" s="227"/>
      <c r="C24" s="227"/>
      <c r="D24" s="227"/>
      <c r="E24" s="227"/>
      <c r="F24" s="227"/>
      <c r="G24" s="227"/>
    </row>
    <row r="25" spans="1:7">
      <c r="A25" s="227"/>
      <c r="B25" s="227"/>
      <c r="C25" s="227"/>
      <c r="D25" s="227"/>
      <c r="E25" s="227"/>
      <c r="F25" s="227"/>
      <c r="G25" s="227"/>
    </row>
    <row r="26" spans="1:7">
      <c r="A26" s="227"/>
      <c r="B26" s="227"/>
      <c r="C26" s="227"/>
      <c r="D26" s="227"/>
      <c r="E26" s="227"/>
      <c r="F26" s="227"/>
      <c r="G26" s="227"/>
    </row>
    <row r="27" spans="1:7">
      <c r="A27" s="227"/>
      <c r="B27" s="227"/>
      <c r="C27" s="227"/>
      <c r="D27" s="227"/>
      <c r="E27" s="227"/>
      <c r="F27" s="227"/>
      <c r="G27" s="227"/>
    </row>
    <row r="28" spans="1:7">
      <c r="A28" s="227"/>
      <c r="B28" s="227"/>
      <c r="C28" s="227"/>
      <c r="D28" s="227"/>
      <c r="E28" s="227"/>
      <c r="F28" s="227"/>
      <c r="G28" s="227"/>
    </row>
    <row r="29" spans="1:7">
      <c r="A29" s="227"/>
      <c r="B29" s="227"/>
      <c r="C29" s="227"/>
      <c r="D29" s="227"/>
      <c r="E29" s="227"/>
      <c r="F29" s="227"/>
      <c r="G29" s="227"/>
    </row>
    <row r="30" spans="1:7">
      <c r="A30" s="227"/>
      <c r="B30" s="227"/>
      <c r="C30" s="227"/>
      <c r="D30" s="227"/>
      <c r="E30" s="227"/>
      <c r="F30" s="227"/>
      <c r="G30" s="227"/>
    </row>
    <row r="31" spans="1:7">
      <c r="A31" s="227"/>
      <c r="B31" s="227"/>
      <c r="C31" s="227"/>
      <c r="D31" s="227"/>
      <c r="E31" s="227"/>
      <c r="F31" s="227"/>
      <c r="G31" s="227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BDFCA-FBB2-41A1-B6AF-A041DF9961FF}">
  <sheetPr codeName="Sheet14">
    <tabColor rgb="FFFFFF00"/>
    <pageSetUpPr autoPageBreaks="0"/>
  </sheetPr>
  <dimension ref="A1:AP63"/>
  <sheetViews>
    <sheetView tabSelected="1" topLeftCell="S1" zoomScale="90" zoomScaleNormal="90" workbookViewId="0">
      <pane xSplit="6" ySplit="4" topLeftCell="Y15" activePane="bottomRight" state="frozen"/>
      <selection pane="bottomRight" activeCell="Y14" sqref="Y14"/>
      <selection pane="bottomLeft"/>
      <selection pane="topRight"/>
    </sheetView>
  </sheetViews>
  <sheetFormatPr defaultRowHeight="14.45" outlineLevelCol="1"/>
  <cols>
    <col min="1" max="1" width="17.5546875" style="80" hidden="1" customWidth="1" outlineLevel="1"/>
    <col min="2" max="2" width="26" style="80" hidden="1" customWidth="1" outlineLevel="1"/>
    <col min="3" max="3" width="11.5546875" style="80" hidden="1" customWidth="1" outlineLevel="1"/>
    <col min="4" max="4" width="11.6640625" style="80" hidden="1" customWidth="1" outlineLevel="1"/>
    <col min="5" max="5" width="8.88671875" style="80" hidden="1" customWidth="1" outlineLevel="1"/>
    <col min="6" max="6" width="24.88671875" style="80" hidden="1" customWidth="1" outlineLevel="1"/>
    <col min="7" max="7" width="25.33203125" style="80" hidden="1" customWidth="1" outlineLevel="1"/>
    <col min="8" max="8" width="10.6640625" style="80" hidden="1" customWidth="1" outlineLevel="1"/>
    <col min="9" max="9" width="11.6640625" style="80" hidden="1" customWidth="1" outlineLevel="1"/>
    <col min="10" max="10" width="11.109375" style="80" hidden="1" customWidth="1" outlineLevel="1"/>
    <col min="11" max="11" width="16.33203125" style="80" hidden="1" customWidth="1" outlineLevel="1"/>
    <col min="12" max="12" width="16.21875" style="80" hidden="1" customWidth="1" outlineLevel="1"/>
    <col min="13" max="13" width="10.6640625" style="80" hidden="1" customWidth="1" outlineLevel="1"/>
    <col min="14" max="14" width="17.21875" style="80" hidden="1" customWidth="1" outlineLevel="1"/>
    <col min="15" max="15" width="19.109375" style="80" hidden="1" customWidth="1" outlineLevel="1"/>
    <col min="16" max="16" width="13.5546875" style="80" hidden="1" customWidth="1" outlineLevel="1"/>
    <col min="17" max="17" width="15.33203125" style="80" hidden="1" customWidth="1" outlineLevel="1"/>
    <col min="18" max="18" width="19.88671875" style="80" hidden="1" customWidth="1" outlineLevel="1"/>
    <col min="19" max="19" width="14.6640625" style="80" hidden="1" customWidth="1" outlineLevel="1"/>
    <col min="20" max="20" width="5.44140625" customWidth="1" collapsed="1"/>
    <col min="21" max="21" width="7.88671875" customWidth="1"/>
    <col min="22" max="22" width="6.21875" customWidth="1"/>
    <col min="23" max="23" width="6.33203125" hidden="1" customWidth="1"/>
    <col min="24" max="24" width="59.33203125" customWidth="1"/>
    <col min="25" max="25" width="21.44140625" style="86" customWidth="1"/>
    <col min="26" max="26" width="9.44140625" style="112" customWidth="1"/>
    <col min="27" max="27" width="8.21875" customWidth="1"/>
    <col min="28" max="28" width="8.5546875" style="231" customWidth="1"/>
    <col min="29" max="29" width="10.88671875" style="231" customWidth="1"/>
    <col min="30" max="30" width="9.44140625" style="231" customWidth="1"/>
    <col min="31" max="31" width="12.21875" style="229" customWidth="1"/>
    <col min="32" max="32" width="12.77734375" customWidth="1"/>
    <col min="33" max="35" width="17.21875" style="231" customWidth="1"/>
    <col min="36" max="36" width="17.21875" style="229" customWidth="1"/>
    <col min="37" max="37" width="17.21875" customWidth="1"/>
    <col min="38" max="40" width="17.21875" style="231" customWidth="1"/>
    <col min="41" max="41" width="17.21875" style="229" customWidth="1"/>
    <col min="42" max="42" width="17.21875" customWidth="1"/>
  </cols>
  <sheetData>
    <row r="1" spans="1:42" ht="0.75" customHeight="1" thickBo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42" ht="4.5" customHeight="1" thickBot="1">
      <c r="A2" s="256" t="s">
        <v>480</v>
      </c>
      <c r="B2" s="257"/>
      <c r="C2" s="258"/>
      <c r="D2" s="259"/>
      <c r="E2" s="256"/>
      <c r="F2" s="257"/>
      <c r="G2" s="257"/>
      <c r="H2" s="260"/>
      <c r="I2" s="261" t="s">
        <v>481</v>
      </c>
      <c r="J2" s="261"/>
      <c r="K2" s="261"/>
      <c r="L2" s="262"/>
      <c r="M2" s="261"/>
      <c r="N2" s="261"/>
      <c r="O2" s="261"/>
      <c r="P2" s="261"/>
      <c r="Q2" s="261"/>
      <c r="R2" s="261"/>
      <c r="S2" s="263"/>
    </row>
    <row r="3" spans="1:42" ht="20.25" customHeight="1" thickBot="1">
      <c r="A3" s="221" t="s">
        <v>102</v>
      </c>
      <c r="B3" s="222"/>
      <c r="C3" s="222"/>
      <c r="D3" s="222"/>
      <c r="E3" s="222"/>
      <c r="F3" s="222"/>
      <c r="G3" s="222"/>
      <c r="H3" s="280" t="s">
        <v>103</v>
      </c>
      <c r="I3" s="280"/>
      <c r="J3" s="280"/>
      <c r="K3" s="281" t="s">
        <v>104</v>
      </c>
      <c r="L3" s="281"/>
      <c r="M3" s="281"/>
      <c r="N3" s="281" t="s">
        <v>105</v>
      </c>
      <c r="O3" s="281"/>
      <c r="P3" s="281"/>
      <c r="Q3" s="281" t="s">
        <v>106</v>
      </c>
      <c r="R3" s="281"/>
      <c r="S3" s="281"/>
      <c r="T3" s="256" t="s">
        <v>480</v>
      </c>
      <c r="U3" s="257"/>
      <c r="V3" s="258"/>
      <c r="W3" s="259"/>
      <c r="X3" s="256"/>
      <c r="Y3" s="257"/>
      <c r="Z3" s="258"/>
      <c r="AA3" s="258"/>
      <c r="AB3" s="233" t="s">
        <v>482</v>
      </c>
      <c r="AC3" s="266"/>
      <c r="AD3" s="266"/>
      <c r="AE3" s="233"/>
      <c r="AF3" s="233"/>
      <c r="AG3" s="237" t="s">
        <v>483</v>
      </c>
      <c r="AH3" s="237"/>
      <c r="AI3" s="237"/>
      <c r="AJ3" s="237"/>
      <c r="AK3" s="237"/>
      <c r="AL3" s="239" t="s">
        <v>484</v>
      </c>
      <c r="AM3" s="239"/>
      <c r="AN3" s="239"/>
      <c r="AO3" s="239"/>
      <c r="AP3" s="239"/>
    </row>
    <row r="4" spans="1:42" ht="38.25" customHeight="1">
      <c r="A4" s="223" t="s">
        <v>112</v>
      </c>
      <c r="B4" s="223" t="s">
        <v>113</v>
      </c>
      <c r="C4" s="223" t="s">
        <v>114</v>
      </c>
      <c r="D4" s="223" t="s">
        <v>115</v>
      </c>
      <c r="E4" s="223" t="s">
        <v>116</v>
      </c>
      <c r="F4" s="223" t="s">
        <v>117</v>
      </c>
      <c r="G4" s="223" t="s">
        <v>118</v>
      </c>
      <c r="H4" s="264" t="s">
        <v>120</v>
      </c>
      <c r="I4" s="265" t="s">
        <v>121</v>
      </c>
      <c r="J4" s="265" t="s">
        <v>122</v>
      </c>
      <c r="K4" s="265" t="s">
        <v>123</v>
      </c>
      <c r="L4" s="265" t="s">
        <v>124</v>
      </c>
      <c r="M4" s="265" t="s">
        <v>125</v>
      </c>
      <c r="N4" s="265" t="s">
        <v>126</v>
      </c>
      <c r="O4" s="265" t="s">
        <v>127</v>
      </c>
      <c r="P4" s="265" t="s">
        <v>128</v>
      </c>
      <c r="Q4" s="265" t="s">
        <v>129</v>
      </c>
      <c r="R4" s="265" t="s">
        <v>130</v>
      </c>
      <c r="S4" s="265" t="s">
        <v>131</v>
      </c>
      <c r="T4" s="224" t="s">
        <v>485</v>
      </c>
      <c r="U4" s="109" t="s">
        <v>486</v>
      </c>
      <c r="V4" s="176" t="s">
        <v>487</v>
      </c>
      <c r="W4" s="110" t="s">
        <v>5</v>
      </c>
      <c r="X4" s="110" t="s">
        <v>488</v>
      </c>
      <c r="Y4" s="110" t="s">
        <v>489</v>
      </c>
      <c r="Z4" s="111" t="s">
        <v>490</v>
      </c>
      <c r="AA4" s="110" t="s">
        <v>491</v>
      </c>
      <c r="AB4" s="210" t="s">
        <v>467</v>
      </c>
      <c r="AC4" s="210" t="s">
        <v>466</v>
      </c>
      <c r="AD4" s="210" t="s">
        <v>492</v>
      </c>
      <c r="AE4" s="210" t="s">
        <v>493</v>
      </c>
      <c r="AF4" t="s">
        <v>494</v>
      </c>
      <c r="AG4" s="238" t="s">
        <v>495</v>
      </c>
      <c r="AH4" s="238" t="s">
        <v>496</v>
      </c>
      <c r="AI4" s="238" t="s">
        <v>497</v>
      </c>
      <c r="AJ4" s="238" t="s">
        <v>498</v>
      </c>
      <c r="AK4" t="s">
        <v>499</v>
      </c>
      <c r="AL4" s="243" t="s">
        <v>500</v>
      </c>
      <c r="AM4" s="243" t="s">
        <v>501</v>
      </c>
      <c r="AN4" s="243" t="s">
        <v>502</v>
      </c>
      <c r="AO4" s="243" t="s">
        <v>503</v>
      </c>
      <c r="AP4" t="s">
        <v>504</v>
      </c>
    </row>
    <row r="5" spans="1:42">
      <c r="A5" s="188" t="str">
        <f>_xlfn.XLOOKUP($V5,'Customer Details '!$A:$A,'Customer Details '!F:F," ",0)</f>
        <v>192 BRIDGE STREET</v>
      </c>
      <c r="B5" s="188" t="str">
        <f>_xlfn.XLOOKUP($V5,'Customer Details '!$A:$A,'Customer Details '!G:G," ",0)</f>
        <v>.</v>
      </c>
      <c r="C5" s="188" t="str">
        <f>_xlfn.XLOOKUP($V5,'Customer Details '!$A:$A,'Customer Details '!H:H," ",0)</f>
        <v>TAMWORTH</v>
      </c>
      <c r="D5" s="188" t="str">
        <f>_xlfn.XLOOKUP($V5,'Customer Details '!$A:$A,'Customer Details '!I:I," ",0)</f>
        <v>NSW</v>
      </c>
      <c r="E5" s="188" t="str">
        <f>_xlfn.XLOOKUP($V5,'Customer Details '!$A:$A,'Customer Details '!J:J," ",0)</f>
        <v>2340</v>
      </c>
      <c r="F5" s="188" t="str">
        <f>_xlfn.XLOOKUP($V5,'Customer Details '!$A:$A,'Customer Details '!K:K," ",0)</f>
        <v>AUSTRALIA</v>
      </c>
      <c r="G5" s="188" t="str">
        <f>_xlfn.XLOOKUP($V5,'Customer Details '!$A:$A,'Customer Details '!L:L," ",0)</f>
        <v>02 67654 199</v>
      </c>
      <c r="H5" s="189"/>
      <c r="I5" s="189"/>
      <c r="J5" s="189"/>
      <c r="K5" s="189"/>
      <c r="L5" s="189"/>
      <c r="M5" s="189"/>
      <c r="N5" s="189"/>
      <c r="O5" s="189"/>
      <c r="P5" s="189"/>
      <c r="Q5" s="189"/>
      <c r="R5" s="189"/>
      <c r="S5" s="189"/>
      <c r="T5">
        <v>1</v>
      </c>
      <c r="U5" s="113" t="str">
        <f>'Get Data -NSW(North)'!A2</f>
        <v>NSW (North)</v>
      </c>
      <c r="V5" s="113">
        <f>'Get Data -NSW(North)'!E2</f>
        <v>29631</v>
      </c>
      <c r="W5" s="113" t="str">
        <f>'Get Data -NSW(North)'!F2</f>
        <v>ALSHAE PTY LTD T/AS MONOGRAM</v>
      </c>
      <c r="X5" s="244" t="str">
        <f>_xlfn.XLOOKUP(Table3[[#This Row],[Cust Code]],'Customer Details '!A:A,'Customer Details '!M:M," ",0)</f>
        <v>MONOGRAM</v>
      </c>
      <c r="Y5" s="114">
        <f>_xlfn.XLOOKUP(Table3[[#This Row],[Cust Code]],' CVM'!C:C,' CVM'!H:H," ",0)</f>
        <v>46065</v>
      </c>
      <c r="Z5" s="115">
        <f>_xlfn.XLOOKUP(Table3[[#This Row],[Cust Code]],' CVM'!C:C,' CVM'!I:I," ",0)</f>
        <v>1</v>
      </c>
      <c r="AA5" s="115">
        <f>_xlfn.XLOOKUP(Table3[[#This Row],[Cust Code]],' CVM'!C:C,' CVM'!J:J," ",0)</f>
        <v>1</v>
      </c>
      <c r="AB5" s="89" t="s">
        <v>469</v>
      </c>
      <c r="AC5" s="232" t="s">
        <v>471</v>
      </c>
      <c r="AD5" s="232"/>
      <c r="AE5" s="278"/>
      <c r="AG5" s="234" t="s">
        <v>469</v>
      </c>
      <c r="AH5" s="235"/>
      <c r="AI5" s="235"/>
      <c r="AJ5" s="236"/>
      <c r="AL5" s="240"/>
      <c r="AM5" s="241"/>
      <c r="AN5" s="241"/>
      <c r="AO5" s="242"/>
    </row>
    <row r="6" spans="1:42" ht="16.5">
      <c r="A6" s="188" t="str">
        <f>_xlfn.XLOOKUP($V6,'Customer Details '!$A:$A,'Customer Details '!F:F," ",0)</f>
        <v>SHOP 2 - 15 MURRAY DWYER CIRCUIT</v>
      </c>
      <c r="B6" s="188" t="str">
        <f>_xlfn.XLOOKUP($V6,'Customer Details '!$A:$A,'Customer Details '!G:G," ",0)</f>
        <v>-</v>
      </c>
      <c r="C6" s="188" t="str">
        <f>_xlfn.XLOOKUP($V6,'Customer Details '!$A:$A,'Customer Details '!H:H," ",0)</f>
        <v>MAYFIELD WEST</v>
      </c>
      <c r="D6" s="188" t="str">
        <f>_xlfn.XLOOKUP($V6,'Customer Details '!$A:$A,'Customer Details '!I:I," ",0)</f>
        <v>NSW</v>
      </c>
      <c r="E6" s="188" t="str">
        <f>_xlfn.XLOOKUP($V6,'Customer Details '!$A:$A,'Customer Details '!J:J," ",0)</f>
        <v>2304</v>
      </c>
      <c r="F6" s="188" t="str">
        <f>_xlfn.XLOOKUP($V6,'Customer Details '!$A:$A,'Customer Details '!K:K," ",0)</f>
        <v>AUSTRALIA</v>
      </c>
      <c r="G6" s="188" t="str">
        <f>_xlfn.XLOOKUP($V6,'Customer Details '!$A:$A,'Customer Details '!L:L," ",0)</f>
        <v>-</v>
      </c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>
        <v>2</v>
      </c>
      <c r="U6" s="113" t="str">
        <f>'Get Data -NSW(North)'!A3</f>
        <v>NSW (North)</v>
      </c>
      <c r="V6" s="113">
        <f>'Get Data -NSW(North)'!E3</f>
        <v>25784</v>
      </c>
      <c r="W6" s="113" t="str">
        <f>'Get Data -NSW(North)'!F3</f>
        <v>BJ'S WORKWEAR NEWCASTLE PTY LTD</v>
      </c>
      <c r="X6" s="244" t="str">
        <f>_xlfn.XLOOKUP(Table3[[#This Row],[Cust Code]],'Customer Details '!A:A,'Customer Details '!M:M," ",0)</f>
        <v>BJ'S WORKWEAR NEWCASTLE PTY LTD</v>
      </c>
      <c r="Y6" s="114">
        <v>46066</v>
      </c>
      <c r="Z6" s="115">
        <f>_xlfn.XLOOKUP(Table3[[#This Row],[Cust Code]],' CVM'!C:C,' CVM'!I:I," ",0)</f>
        <v>1</v>
      </c>
      <c r="AA6" s="115">
        <f>_xlfn.XLOOKUP(Table3[[#This Row],[Cust Code]],' CVM'!C:C,' CVM'!J:J," ",0)</f>
        <v>1</v>
      </c>
      <c r="AB6" s="89" t="s">
        <v>469</v>
      </c>
      <c r="AC6" s="232" t="s">
        <v>471</v>
      </c>
      <c r="AD6" s="232" t="s">
        <v>478</v>
      </c>
      <c r="AE6" s="230"/>
      <c r="AF6" t="s">
        <v>505</v>
      </c>
      <c r="AG6" s="234"/>
      <c r="AH6" s="235"/>
      <c r="AI6" s="235"/>
      <c r="AJ6" s="236"/>
      <c r="AL6" s="240"/>
      <c r="AM6" s="241"/>
      <c r="AN6" s="241"/>
      <c r="AO6" s="242"/>
    </row>
    <row r="7" spans="1:42" ht="23.25">
      <c r="A7" s="188" t="str">
        <f>_xlfn.XLOOKUP($V7,'Customer Details '!$A:$A,'Customer Details '!F:F," ",0)</f>
        <v>8 Ryan Ave</v>
      </c>
      <c r="B7" s="188" t="str">
        <f>_xlfn.XLOOKUP($V7,'Customer Details '!$A:$A,'Customer Details '!G:G," ",0)</f>
        <v>-</v>
      </c>
      <c r="C7" s="188" t="str">
        <f>_xlfn.XLOOKUP($V7,'Customer Details '!$A:$A,'Customer Details '!H:H," ",0)</f>
        <v>SINGLETON</v>
      </c>
      <c r="D7" s="188" t="str">
        <f>_xlfn.XLOOKUP($V7,'Customer Details '!$A:$A,'Customer Details '!I:I," ",0)</f>
        <v>NSW</v>
      </c>
      <c r="E7" s="188" t="str">
        <f>_xlfn.XLOOKUP($V7,'Customer Details '!$A:$A,'Customer Details '!J:J," ",0)</f>
        <v>2330</v>
      </c>
      <c r="F7" s="188" t="str">
        <f>_xlfn.XLOOKUP($V7,'Customer Details '!$A:$A,'Customer Details '!K:K," ",0)</f>
        <v>AUSTRALIA</v>
      </c>
      <c r="G7" s="188" t="str">
        <f>_xlfn.XLOOKUP($V7,'Customer Details '!$A:$A,'Customer Details '!L:L," ",0)</f>
        <v>DAVID COOK / KRISTY</v>
      </c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>
        <v>3</v>
      </c>
      <c r="U7" s="113" t="str">
        <f>'Get Data -NSW(North)'!A4</f>
        <v>NSW (North)</v>
      </c>
      <c r="V7" s="113">
        <f>'Get Data -NSW(North)'!E4</f>
        <v>27358</v>
      </c>
      <c r="W7" s="113" t="str">
        <f>'Get Data -NSW(North)'!F4</f>
        <v>BJ'S WORKWEAR PTY LTD (SINGLETON)</v>
      </c>
      <c r="X7" s="244" t="str">
        <f>_xlfn.XLOOKUP(Table3[[#This Row],[Cust Code]],'Customer Details '!A:A,'Customer Details '!M:M," ",0)</f>
        <v>BJ'S WORKWEAR</v>
      </c>
      <c r="Y7" s="114">
        <v>46066</v>
      </c>
      <c r="Z7" s="115">
        <f>_xlfn.XLOOKUP(Table3[[#This Row],[Cust Code]],' CVM'!C:C,' CVM'!I:I," ",0)</f>
        <v>1</v>
      </c>
      <c r="AA7" s="115">
        <f>_xlfn.XLOOKUP(Table3[[#This Row],[Cust Code]],' CVM'!C:C,' CVM'!J:J," ",0)</f>
        <v>1</v>
      </c>
      <c r="AB7" s="89" t="s">
        <v>469</v>
      </c>
      <c r="AC7" s="232" t="s">
        <v>476</v>
      </c>
      <c r="AD7" s="232" t="s">
        <v>478</v>
      </c>
      <c r="AE7" s="230"/>
      <c r="AF7" t="s">
        <v>505</v>
      </c>
      <c r="AG7" s="234"/>
      <c r="AH7" s="235"/>
      <c r="AI7" s="235"/>
      <c r="AJ7" s="236"/>
      <c r="AL7" s="240"/>
      <c r="AM7" s="241"/>
      <c r="AN7" s="241"/>
      <c r="AO7" s="242"/>
    </row>
    <row r="8" spans="1:42" ht="23.25">
      <c r="A8" s="188" t="str">
        <f>_xlfn.XLOOKUP($V8,'Customer Details '!$A:$A,'Customer Details '!F:F," ",0)</f>
        <v>1/1 GLENWOOD DRIVE</v>
      </c>
      <c r="B8" s="188" t="str">
        <f>_xlfn.XLOOKUP($V8,'Customer Details '!$A:$A,'Customer Details '!G:G," ",0)</f>
        <v>-</v>
      </c>
      <c r="C8" s="188" t="str">
        <f>_xlfn.XLOOKUP($V8,'Customer Details '!$A:$A,'Customer Details '!H:H," ",0)</f>
        <v>THORNTON</v>
      </c>
      <c r="D8" s="188" t="str">
        <f>_xlfn.XLOOKUP($V8,'Customer Details '!$A:$A,'Customer Details '!I:I," ",0)</f>
        <v>NSW</v>
      </c>
      <c r="E8" s="188" t="str">
        <f>_xlfn.XLOOKUP($V8,'Customer Details '!$A:$A,'Customer Details '!J:J," ",0)</f>
        <v>2322</v>
      </c>
      <c r="F8" s="188" t="str">
        <f>_xlfn.XLOOKUP($V8,'Customer Details '!$A:$A,'Customer Details '!K:K," ",0)</f>
        <v>AUSTRALIA</v>
      </c>
      <c r="G8" s="188" t="str">
        <f>_xlfn.XLOOKUP($V8,'Customer Details '!$A:$A,'Customer Details '!L:L," ",0)</f>
        <v>-</v>
      </c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>
        <v>4</v>
      </c>
      <c r="U8" s="113" t="str">
        <f>'Get Data -NSW(North)'!A5</f>
        <v>NSW (North)</v>
      </c>
      <c r="V8" s="113">
        <f>'Get Data -NSW(North)'!E5</f>
        <v>27359</v>
      </c>
      <c r="W8" s="113" t="str">
        <f>'Get Data -NSW(North)'!F5</f>
        <v>BJ'S WORKWEAR PTY LTD (THORNTON)</v>
      </c>
      <c r="X8" s="244" t="str">
        <f>_xlfn.XLOOKUP(Table3[[#This Row],[Cust Code]],'Customer Details '!A:A,'Customer Details '!M:M," ",0)</f>
        <v>BJ'S WORKWEAR PTY LTD</v>
      </c>
      <c r="Y8" s="114">
        <v>46066</v>
      </c>
      <c r="Z8" s="115">
        <f>_xlfn.XLOOKUP(Table3[[#This Row],[Cust Code]],' CVM'!C:C,' CVM'!I:I," ",0)</f>
        <v>1</v>
      </c>
      <c r="AA8" s="115">
        <f>_xlfn.XLOOKUP(Table3[[#This Row],[Cust Code]],' CVM'!C:C,' CVM'!J:J," ",0)</f>
        <v>1</v>
      </c>
      <c r="AB8" s="89" t="s">
        <v>469</v>
      </c>
      <c r="AC8" s="232" t="s">
        <v>476</v>
      </c>
      <c r="AD8" s="232" t="s">
        <v>478</v>
      </c>
      <c r="AE8" s="230"/>
      <c r="AF8" t="s">
        <v>505</v>
      </c>
      <c r="AG8" s="234"/>
      <c r="AH8" s="235"/>
      <c r="AI8" s="235"/>
      <c r="AJ8" s="236"/>
      <c r="AL8" s="240"/>
      <c r="AM8" s="241"/>
      <c r="AN8" s="241"/>
      <c r="AO8" s="242"/>
    </row>
    <row r="9" spans="1:42" ht="23.25">
      <c r="A9" s="188" t="str">
        <f>_xlfn.XLOOKUP($V9,'Customer Details '!$A:$A,'Customer Details '!F:F," ",0)</f>
        <v>18/20  CHURCH STREET</v>
      </c>
      <c r="B9" s="188" t="str">
        <f>_xlfn.XLOOKUP($V9,'Customer Details '!$A:$A,'Customer Details '!G:G," ",0)</f>
        <v>.</v>
      </c>
      <c r="C9" s="188" t="str">
        <f>_xlfn.XLOOKUP($V9,'Customer Details '!$A:$A,'Customer Details '!H:H," ",0)</f>
        <v>MUDGEE</v>
      </c>
      <c r="D9" s="188" t="str">
        <f>_xlfn.XLOOKUP($V9,'Customer Details '!$A:$A,'Customer Details '!I:I," ",0)</f>
        <v>NSW</v>
      </c>
      <c r="E9" s="188" t="str">
        <f>_xlfn.XLOOKUP($V9,'Customer Details '!$A:$A,'Customer Details '!J:J," ",0)</f>
        <v>2850</v>
      </c>
      <c r="F9" s="188" t="str">
        <f>_xlfn.XLOOKUP($V9,'Customer Details '!$A:$A,'Customer Details '!K:K," ",0)</f>
        <v>AUSTRALIA</v>
      </c>
      <c r="G9" s="188" t="str">
        <f>_xlfn.XLOOKUP($V9,'Customer Details '!$A:$A,'Customer Details '!L:L," ",0)</f>
        <v>Aaron Blowes</v>
      </c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>
        <v>5</v>
      </c>
      <c r="U9" s="113" t="str">
        <f>'Get Data -NSW(North)'!A6</f>
        <v>NSW (North)</v>
      </c>
      <c r="V9" s="113">
        <f>'Get Data -NSW(North)'!E6</f>
        <v>29368</v>
      </c>
      <c r="W9" s="113" t="str">
        <f>'Get Data -NSW(North)'!F6</f>
        <v>BLOWES CLOTHING</v>
      </c>
      <c r="X9" s="244" t="str">
        <f>_xlfn.XLOOKUP(Table3[[#This Row],[Cust Code]],'Customer Details '!A:A,'Customer Details '!M:M," ",0)</f>
        <v>BLOWES CLOTHING</v>
      </c>
      <c r="Y9" s="114">
        <f>_xlfn.XLOOKUP(Table3[[#This Row],[Cust Code]],' CVM'!C:C,' CVM'!H:H," ",0)</f>
        <v>46062</v>
      </c>
      <c r="Z9" s="115">
        <f>_xlfn.XLOOKUP(Table3[[#This Row],[Cust Code]],' CVM'!C:C,' CVM'!I:I," ",0)</f>
        <v>1</v>
      </c>
      <c r="AA9" s="115">
        <f>_xlfn.XLOOKUP(Table3[[#This Row],[Cust Code]],' CVM'!C:C,' CVM'!J:J," ",0)</f>
        <v>1</v>
      </c>
      <c r="AB9" s="89" t="s">
        <v>469</v>
      </c>
      <c r="AC9" s="232" t="s">
        <v>476</v>
      </c>
      <c r="AD9" s="232" t="s">
        <v>478</v>
      </c>
      <c r="AE9" s="230"/>
      <c r="AF9" t="s">
        <v>506</v>
      </c>
      <c r="AG9" s="234" t="s">
        <v>469</v>
      </c>
      <c r="AH9" s="235" t="s">
        <v>474</v>
      </c>
      <c r="AI9" s="235"/>
      <c r="AJ9" s="236"/>
      <c r="AL9" s="240"/>
      <c r="AM9" s="241"/>
      <c r="AN9" s="241"/>
      <c r="AO9" s="242"/>
    </row>
    <row r="10" spans="1:42" ht="16.5">
      <c r="A10" s="188" t="str">
        <f>_xlfn.XLOOKUP($V10,'Customer Details '!$A:$A,'Customer Details '!F:F," ",0)</f>
        <v>406 - 408 THE ENTRANCE ROAD</v>
      </c>
      <c r="B10" s="188" t="str">
        <f>_xlfn.XLOOKUP($V10,'Customer Details '!$A:$A,'Customer Details '!G:G," ",0)</f>
        <v>-</v>
      </c>
      <c r="C10" s="188" t="str">
        <f>_xlfn.XLOOKUP($V10,'Customer Details '!$A:$A,'Customer Details '!H:H," ",0)</f>
        <v>LONG JETTY</v>
      </c>
      <c r="D10" s="188" t="str">
        <f>_xlfn.XLOOKUP($V10,'Customer Details '!$A:$A,'Customer Details '!I:I," ",0)</f>
        <v>NSW</v>
      </c>
      <c r="E10" s="188" t="str">
        <f>_xlfn.XLOOKUP($V10,'Customer Details '!$A:$A,'Customer Details '!J:J," ",0)</f>
        <v>2261</v>
      </c>
      <c r="F10" s="188" t="str">
        <f>_xlfn.XLOOKUP($V10,'Customer Details '!$A:$A,'Customer Details '!K:K," ",0)</f>
        <v>AUSTRALIA</v>
      </c>
      <c r="G10" s="188" t="str">
        <f>_xlfn.XLOOKUP($V10,'Customer Details '!$A:$A,'Customer Details '!L:L," ",0)</f>
        <v>Caleb  / Cheryl</v>
      </c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>
        <v>6</v>
      </c>
      <c r="U10" s="113" t="str">
        <f>'Get Data -NSW(North)'!A7</f>
        <v>NSW (North)</v>
      </c>
      <c r="V10" s="113">
        <f>'Get Data -NSW(North)'!E7</f>
        <v>29947</v>
      </c>
      <c r="W10" s="113" t="str">
        <f>'Get Data -NSW(North)'!F7</f>
        <v>C.M JONES &amp; D.L JONES t/as (HP WW Central Coast)</v>
      </c>
      <c r="X10" s="244" t="str">
        <f>_xlfn.XLOOKUP(Table3[[#This Row],[Cust Code]],'Customer Details '!A:A,'Customer Details '!M:M," ",0)</f>
        <v>HIP POCKET WORKWEAR &amp; SAFETY CENTRAL COAST</v>
      </c>
      <c r="Y10" s="114">
        <f>_xlfn.XLOOKUP(Table3[[#This Row],[Cust Code]],' CVM'!C:C,' CVM'!H:H," ",0)</f>
        <v>46062</v>
      </c>
      <c r="Z10" s="115">
        <f>_xlfn.XLOOKUP(Table3[[#This Row],[Cust Code]],' CVM'!C:C,' CVM'!I:I," ",0)</f>
        <v>1</v>
      </c>
      <c r="AA10" s="115">
        <f>_xlfn.XLOOKUP(Table3[[#This Row],[Cust Code]],' CVM'!C:C,' CVM'!J:J," ",0)</f>
        <v>1</v>
      </c>
      <c r="AB10" s="89" t="s">
        <v>469</v>
      </c>
      <c r="AC10" s="232" t="s">
        <v>471</v>
      </c>
      <c r="AD10" s="232"/>
      <c r="AE10" s="230"/>
      <c r="AG10" s="234" t="s">
        <v>469</v>
      </c>
      <c r="AH10" s="235" t="s">
        <v>476</v>
      </c>
      <c r="AI10" s="235"/>
      <c r="AJ10" s="236"/>
      <c r="AL10" s="240"/>
      <c r="AM10" s="241"/>
      <c r="AN10" s="241"/>
      <c r="AO10" s="242"/>
    </row>
    <row r="11" spans="1:42" ht="16.5">
      <c r="A11" s="188" t="str">
        <f>_xlfn.XLOOKUP($V11,'Customer Details '!$A:$A,'Customer Details '!F:F," ",0)</f>
        <v>SHOP 4 / 140 MILLERS STREET</v>
      </c>
      <c r="B11" s="188" t="str">
        <f>_xlfn.XLOOKUP($V11,'Customer Details '!$A:$A,'Customer Details '!G:G," ",0)</f>
        <v>.</v>
      </c>
      <c r="C11" s="188" t="str">
        <f>_xlfn.XLOOKUP($V11,'Customer Details '!$A:$A,'Customer Details '!H:H," ",0)</f>
        <v>ARMIDALE</v>
      </c>
      <c r="D11" s="188" t="str">
        <f>_xlfn.XLOOKUP($V11,'Customer Details '!$A:$A,'Customer Details '!I:I," ",0)</f>
        <v>NSW</v>
      </c>
      <c r="E11" s="188" t="str">
        <f>_xlfn.XLOOKUP($V11,'Customer Details '!$A:$A,'Customer Details '!J:J," ",0)</f>
        <v>2350</v>
      </c>
      <c r="F11" s="188" t="str">
        <f>_xlfn.XLOOKUP($V11,'Customer Details '!$A:$A,'Customer Details '!K:K," ",0)</f>
        <v>AUSTRALIA</v>
      </c>
      <c r="G11" s="188" t="str">
        <f>_xlfn.XLOOKUP($V11,'Customer Details '!$A:$A,'Customer Details '!L:L," ",0)</f>
        <v>Mark Low</v>
      </c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>
        <v>7</v>
      </c>
      <c r="U11" s="113" t="str">
        <f>'Get Data -NSW(North)'!A8</f>
        <v>NSW (North)</v>
      </c>
      <c r="V11" s="113">
        <f>'Get Data -NSW(North)'!E8</f>
        <v>29649</v>
      </c>
      <c r="W11" s="113" t="str">
        <f>'Get Data -NSW(North)'!F8</f>
        <v>CAILANA P/L  t/as NEW ENGLAND WORKWEAR</v>
      </c>
      <c r="X11" s="244" t="str">
        <f>_xlfn.XLOOKUP(Table3[[#This Row],[Cust Code]],'Customer Details '!A:A,'Customer Details '!M:M," ",0)</f>
        <v>NEW ENGLAND WORKWEAR &amp; SAFETY</v>
      </c>
      <c r="Y11" s="114">
        <f>_xlfn.XLOOKUP(Table3[[#This Row],[Cust Code]],' CVM'!C:C,' CVM'!H:H," ",0)</f>
        <v>46065</v>
      </c>
      <c r="Z11" s="115">
        <f>_xlfn.XLOOKUP(Table3[[#This Row],[Cust Code]],' CVM'!C:C,' CVM'!I:I," ",0)</f>
        <v>1</v>
      </c>
      <c r="AA11" s="115">
        <f>_xlfn.XLOOKUP(Table3[[#This Row],[Cust Code]],' CVM'!C:C,' CVM'!J:J," ",0)</f>
        <v>1</v>
      </c>
      <c r="AB11" s="89" t="s">
        <v>469</v>
      </c>
      <c r="AC11" s="232" t="s">
        <v>471</v>
      </c>
      <c r="AD11" s="232"/>
      <c r="AE11" s="230"/>
      <c r="AG11" s="234" t="s">
        <v>469</v>
      </c>
      <c r="AH11" s="235" t="s">
        <v>476</v>
      </c>
      <c r="AI11" s="235"/>
      <c r="AJ11" s="236"/>
      <c r="AL11" s="240"/>
      <c r="AM11" s="241"/>
      <c r="AN11" s="241"/>
      <c r="AO11" s="242"/>
    </row>
    <row r="12" spans="1:42">
      <c r="A12" s="188" t="str">
        <f>_xlfn.XLOOKUP($V12,'Customer Details '!$A:$A,'Customer Details '!F:F," ",0)</f>
        <v>SHOP 31 COLONIAL ARCADE</v>
      </c>
      <c r="B12" s="188" t="str">
        <f>_xlfn.XLOOKUP($V12,'Customer Details '!$A:$A,'Customer Details '!G:G," ",0)</f>
        <v>25 TO 27 HAY STREET</v>
      </c>
      <c r="C12" s="188" t="str">
        <f>_xlfn.XLOOKUP($V12,'Customer Details '!$A:$A,'Customer Details '!H:H," ",0)</f>
        <v>PORT MACQUARIE</v>
      </c>
      <c r="D12" s="188" t="str">
        <f>_xlfn.XLOOKUP($V12,'Customer Details '!$A:$A,'Customer Details '!I:I," ",0)</f>
        <v>NSW</v>
      </c>
      <c r="E12" s="188" t="str">
        <f>_xlfn.XLOOKUP($V12,'Customer Details '!$A:$A,'Customer Details '!J:J," ",0)</f>
        <v>2444</v>
      </c>
      <c r="F12" s="188" t="str">
        <f>_xlfn.XLOOKUP($V12,'Customer Details '!$A:$A,'Customer Details '!K:K," ",0)</f>
        <v>AUSTRALIA</v>
      </c>
      <c r="G12" s="188" t="str">
        <f>_xlfn.XLOOKUP($V12,'Customer Details '!$A:$A,'Customer Details '!L:L," ",0)</f>
        <v>NATALIE</v>
      </c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>
        <v>8</v>
      </c>
      <c r="U12" s="113" t="str">
        <f>'Get Data -NSW(North)'!A9</f>
        <v>NSW (North)</v>
      </c>
      <c r="V12" s="113">
        <f>'Get Data -NSW(North)'!E9</f>
        <v>28791</v>
      </c>
      <c r="W12" s="113" t="str">
        <f>'Get Data -NSW(North)'!F9</f>
        <v>CASA CAVACO PTY LTD t/as PORT MACQUARIE WORKWEAR</v>
      </c>
      <c r="X12" s="244" t="str">
        <f>_xlfn.XLOOKUP(Table3[[#This Row],[Cust Code]],'Customer Details '!A:A,'Customer Details '!M:M," ",0)</f>
        <v>PORT MACQUARIE WORKWEAR</v>
      </c>
      <c r="Y12" s="114">
        <f>_xlfn.XLOOKUP(Table3[[#This Row],[Cust Code]],' CVM'!C:C,' CVM'!H:H," ",0)</f>
        <v>46073</v>
      </c>
      <c r="Z12" s="115">
        <f>_xlfn.XLOOKUP(Table3[[#This Row],[Cust Code]],' CVM'!C:C,' CVM'!I:I," ",0)</f>
        <v>0</v>
      </c>
      <c r="AA12" s="115">
        <f>_xlfn.XLOOKUP(Table3[[#This Row],[Cust Code]],' CVM'!C:C,' CVM'!J:J," ",0)</f>
        <v>0</v>
      </c>
      <c r="AB12" s="89" t="s">
        <v>469</v>
      </c>
      <c r="AC12" s="232" t="s">
        <v>471</v>
      </c>
      <c r="AD12" s="232"/>
      <c r="AE12" s="230"/>
      <c r="AG12" s="234"/>
      <c r="AH12" s="235"/>
      <c r="AI12" s="235"/>
      <c r="AJ12" s="236"/>
      <c r="AL12" s="240"/>
      <c r="AM12" s="241"/>
      <c r="AN12" s="241"/>
      <c r="AO12" s="242"/>
    </row>
    <row r="13" spans="1:42">
      <c r="A13" s="188" t="str">
        <f>_xlfn.XLOOKUP($V13,'Customer Details '!$A:$A,'Customer Details '!F:F," ",0)</f>
        <v>162  PACIFIC HWY</v>
      </c>
      <c r="B13" s="188" t="str">
        <f>_xlfn.XLOOKUP($V13,'Customer Details '!$A:$A,'Customer Details '!G:G," ",0)</f>
        <v>-</v>
      </c>
      <c r="C13" s="188" t="str">
        <f>_xlfn.XLOOKUP($V13,'Customer Details '!$A:$A,'Customer Details '!H:H," ",0)</f>
        <v>COFFS HARBOUR</v>
      </c>
      <c r="D13" s="188" t="str">
        <f>_xlfn.XLOOKUP($V13,'Customer Details '!$A:$A,'Customer Details '!I:I," ",0)</f>
        <v>NSW</v>
      </c>
      <c r="E13" s="188" t="str">
        <f>_xlfn.XLOOKUP($V13,'Customer Details '!$A:$A,'Customer Details '!J:J," ",0)</f>
        <v>2450</v>
      </c>
      <c r="F13" s="188" t="str">
        <f>_xlfn.XLOOKUP($V13,'Customer Details '!$A:$A,'Customer Details '!K:K," ",0)</f>
        <v>AUSTRALIA</v>
      </c>
      <c r="G13" s="188" t="str">
        <f>_xlfn.XLOOKUP($V13,'Customer Details '!$A:$A,'Customer Details '!L:L," ",0)</f>
        <v>Florence</v>
      </c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>
        <v>9</v>
      </c>
      <c r="U13" s="113" t="str">
        <f>'Get Data -NSW(North)'!A10</f>
        <v>NSW (North)</v>
      </c>
      <c r="V13" s="113">
        <f>'Get Data -NSW(North)'!E10</f>
        <v>28675</v>
      </c>
      <c r="W13" s="113" t="str">
        <f>'Get Data -NSW(North)'!F10</f>
        <v>COFFS HARBOUR DISPOSALS</v>
      </c>
      <c r="X13" s="244" t="str">
        <f>_xlfn.XLOOKUP(Table3[[#This Row],[Cust Code]],'Customer Details '!A:A,'Customer Details '!M:M," ",0)</f>
        <v>COFFS HARBOUR DISPOSALS</v>
      </c>
      <c r="Y13" s="114" t="str">
        <f>_xlfn.XLOOKUP(Table3[[#This Row],[Cust Code]],' CVM'!C:C,' CVM'!H:H," ",0)</f>
        <v/>
      </c>
      <c r="Z13" s="115">
        <f>_xlfn.XLOOKUP(Table3[[#This Row],[Cust Code]],' CVM'!C:C,' CVM'!I:I," ",0)</f>
        <v>0</v>
      </c>
      <c r="AA13" s="115">
        <f>_xlfn.XLOOKUP(Table3[[#This Row],[Cust Code]],' CVM'!C:C,' CVM'!J:J," ",0)</f>
        <v>0</v>
      </c>
      <c r="AB13" s="89" t="s">
        <v>469</v>
      </c>
      <c r="AC13" s="232" t="s">
        <v>471</v>
      </c>
      <c r="AD13" s="232"/>
      <c r="AE13" s="230"/>
      <c r="AG13" s="234"/>
      <c r="AH13" s="235"/>
      <c r="AI13" s="235"/>
      <c r="AJ13" s="236"/>
      <c r="AL13" s="240"/>
      <c r="AM13" s="241"/>
      <c r="AN13" s="241"/>
      <c r="AO13" s="242"/>
    </row>
    <row r="14" spans="1:42">
      <c r="A14" s="188" t="str">
        <f>_xlfn.XLOOKUP($V14,'Customer Details '!$A:$A,'Customer Details '!F:F," ",0)</f>
        <v>2/1 SKY CLOSE</v>
      </c>
      <c r="B14" s="188" t="str">
        <f>_xlfn.XLOOKUP($V14,'Customer Details '!$A:$A,'Customer Details '!G:G," ",0)</f>
        <v>-</v>
      </c>
      <c r="C14" s="188" t="str">
        <f>_xlfn.XLOOKUP($V14,'Customer Details '!$A:$A,'Customer Details '!H:H," ",0)</f>
        <v>TAYLORS BEACH</v>
      </c>
      <c r="D14" s="188" t="str">
        <f>_xlfn.XLOOKUP($V14,'Customer Details '!$A:$A,'Customer Details '!I:I," ",0)</f>
        <v>NSW</v>
      </c>
      <c r="E14" s="188" t="str">
        <f>_xlfn.XLOOKUP($V14,'Customer Details '!$A:$A,'Customer Details '!J:J," ",0)</f>
        <v>2316</v>
      </c>
      <c r="F14" s="188" t="str">
        <f>_xlfn.XLOOKUP($V14,'Customer Details '!$A:$A,'Customer Details '!K:K," ",0)</f>
        <v>AUSTRALIA</v>
      </c>
      <c r="G14" s="188" t="str">
        <f>_xlfn.XLOOKUP($V14,'Customer Details '!$A:$A,'Customer Details '!L:L," ",0)</f>
        <v>Shane Williams</v>
      </c>
      <c r="H14" s="189"/>
      <c r="I14" s="189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>
        <v>10</v>
      </c>
      <c r="U14" s="113" t="str">
        <f>'Get Data -NSW(North)'!A11</f>
        <v>NSW (North)</v>
      </c>
      <c r="V14" s="113">
        <f>'Get Data -NSW(North)'!E11</f>
        <v>29115</v>
      </c>
      <c r="W14" s="113" t="str">
        <f>'Get Data -NSW(North)'!F11</f>
        <v>CORKAYCHA PTY LTD t/as TWW PORT STEPHENS</v>
      </c>
      <c r="X14" s="244" t="str">
        <f>_xlfn.XLOOKUP(Table3[[#This Row],[Cust Code]],'Customer Details '!A:A,'Customer Details '!M:M," ",0)</f>
        <v>TOTALLY WORKWEAR PORT STEPHENS</v>
      </c>
      <c r="Y14" s="114">
        <f>_xlfn.XLOOKUP(Table3[[#This Row],[Cust Code]],' CVM'!C:C,' CVM'!H:H," ",0)</f>
        <v>46059</v>
      </c>
      <c r="Z14" s="115">
        <f>_xlfn.XLOOKUP(Table3[[#This Row],[Cust Code]],' CVM'!C:C,' CVM'!I:I," ",0)</f>
        <v>1</v>
      </c>
      <c r="AA14" s="115">
        <f>_xlfn.XLOOKUP(Table3[[#This Row],[Cust Code]],' CVM'!C:C,' CVM'!J:J," ",0)</f>
        <v>1</v>
      </c>
      <c r="AB14" s="89" t="s">
        <v>469</v>
      </c>
      <c r="AC14" s="232" t="s">
        <v>471</v>
      </c>
      <c r="AD14" s="232"/>
      <c r="AE14" s="230"/>
      <c r="AG14" s="234"/>
      <c r="AH14" s="235"/>
      <c r="AI14" s="235"/>
      <c r="AJ14" s="236"/>
      <c r="AL14" s="240"/>
      <c r="AM14" s="241"/>
      <c r="AN14" s="241"/>
      <c r="AO14" s="242"/>
    </row>
    <row r="15" spans="1:42" ht="16.5">
      <c r="A15" s="188" t="str">
        <f>_xlfn.XLOOKUP($V15,'Customer Details '!$A:$A,'Customer Details '!F:F," ",0)</f>
        <v>2/2 HALLS ROAD</v>
      </c>
      <c r="B15" s="188" t="str">
        <f>_xlfn.XLOOKUP($V15,'Customer Details '!$A:$A,'Customer Details '!G:G," ",0)</f>
        <v>-</v>
      </c>
      <c r="C15" s="188" t="str">
        <f>_xlfn.XLOOKUP($V15,'Customer Details '!$A:$A,'Customer Details '!H:H," ",0)</f>
        <v>COFFS HARBOUR</v>
      </c>
      <c r="D15" s="188" t="str">
        <f>_xlfn.XLOOKUP($V15,'Customer Details '!$A:$A,'Customer Details '!I:I," ",0)</f>
        <v>NSW</v>
      </c>
      <c r="E15" s="188" t="str">
        <f>_xlfn.XLOOKUP($V15,'Customer Details '!$A:$A,'Customer Details '!J:J," ",0)</f>
        <v>2450</v>
      </c>
      <c r="F15" s="188" t="str">
        <f>_xlfn.XLOOKUP($V15,'Customer Details '!$A:$A,'Customer Details '!K:K," ",0)</f>
        <v>AUSTRALIA</v>
      </c>
      <c r="G15" s="188" t="str">
        <f>_xlfn.XLOOKUP($V15,'Customer Details '!$A:$A,'Customer Details '!L:L," ",0)</f>
        <v>Darcy Byrne</v>
      </c>
      <c r="H15" s="189"/>
      <c r="I15" s="189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>
        <v>11</v>
      </c>
      <c r="U15" s="113" t="str">
        <f>'Get Data -NSW(North)'!A12</f>
        <v>NSW (North)</v>
      </c>
      <c r="V15" s="113">
        <f>'Get Data -NSW(North)'!E12</f>
        <v>24721</v>
      </c>
      <c r="W15" s="113" t="str">
        <f>'Get Data -NSW(North)'!F12</f>
        <v>DARC ROSE PTY LTD t/as WORKLOCKER COFFS HARBOUR</v>
      </c>
      <c r="X15" s="244" t="str">
        <f>_xlfn.XLOOKUP(Table3[[#This Row],[Cust Code]],'Customer Details '!A:A,'Customer Details '!M:M," ",0)</f>
        <v>WORKLOCKER COFFS HARBOUR</v>
      </c>
      <c r="Y15" s="114" t="str">
        <f>_xlfn.XLOOKUP(Table3[[#This Row],[Cust Code]],' CVM'!C:C,' CVM'!H:H," ",0)</f>
        <v/>
      </c>
      <c r="Z15" s="115">
        <f>_xlfn.XLOOKUP(Table3[[#This Row],[Cust Code]],' CVM'!C:C,' CVM'!I:I," ",0)</f>
        <v>0</v>
      </c>
      <c r="AA15" s="115">
        <f>_xlfn.XLOOKUP(Table3[[#This Row],[Cust Code]],' CVM'!C:C,' CVM'!J:J," ",0)</f>
        <v>0</v>
      </c>
      <c r="AB15" s="89" t="s">
        <v>469</v>
      </c>
      <c r="AC15" s="232" t="s">
        <v>471</v>
      </c>
      <c r="AD15" s="232"/>
      <c r="AE15" s="268"/>
      <c r="AG15" s="234"/>
      <c r="AH15" s="235"/>
      <c r="AI15" s="235"/>
      <c r="AJ15" s="236"/>
      <c r="AL15" s="240"/>
      <c r="AM15" s="241"/>
      <c r="AN15" s="241"/>
      <c r="AO15" s="242"/>
    </row>
    <row r="16" spans="1:42" ht="16.5">
      <c r="A16" s="188" t="str">
        <f>_xlfn.XLOOKUP($V16,'Customer Details '!$A:$A,'Customer Details '!F:F," ",0)</f>
        <v>10 MAITLAND STREET</v>
      </c>
      <c r="B16" s="188" t="str">
        <f>_xlfn.XLOOKUP($V16,'Customer Details '!$A:$A,'Customer Details '!G:G," ",0)</f>
        <v>-</v>
      </c>
      <c r="C16" s="188" t="str">
        <f>_xlfn.XLOOKUP($V16,'Customer Details '!$A:$A,'Customer Details '!H:H," ",0)</f>
        <v>MUSWELLBROOK</v>
      </c>
      <c r="D16" s="188" t="str">
        <f>_xlfn.XLOOKUP($V16,'Customer Details '!$A:$A,'Customer Details '!I:I," ",0)</f>
        <v>NSW</v>
      </c>
      <c r="E16" s="188" t="str">
        <f>_xlfn.XLOOKUP($V16,'Customer Details '!$A:$A,'Customer Details '!J:J," ",0)</f>
        <v>2333</v>
      </c>
      <c r="F16" s="188" t="str">
        <f>_xlfn.XLOOKUP($V16,'Customer Details '!$A:$A,'Customer Details '!K:K," ",0)</f>
        <v>AUSTRALIA</v>
      </c>
      <c r="G16" s="188" t="str">
        <f>_xlfn.XLOOKUP($V16,'Customer Details '!$A:$A,'Customer Details '!L:L," ",0)</f>
        <v>Neil McRae</v>
      </c>
      <c r="H16" s="189"/>
      <c r="I16" s="189"/>
      <c r="J16" s="189"/>
      <c r="K16" s="189"/>
      <c r="L16" s="189"/>
      <c r="M16" s="189"/>
      <c r="N16" s="189"/>
      <c r="O16" s="189"/>
      <c r="P16" s="189"/>
      <c r="Q16" s="189"/>
      <c r="R16" s="189"/>
      <c r="S16" s="189"/>
      <c r="T16">
        <v>12</v>
      </c>
      <c r="U16" s="113" t="str">
        <f>'Get Data -NSW(North)'!A13</f>
        <v>NSW (North)</v>
      </c>
      <c r="V16" s="113">
        <f>'Get Data -NSW(North)'!E13</f>
        <v>29216</v>
      </c>
      <c r="W16" s="113" t="str">
        <f>'Get Data -NSW(North)'!F13</f>
        <v>FARRAMS CLOTHING AND FOOTWEAR, MUSWELLBROOK</v>
      </c>
      <c r="X16" s="244" t="str">
        <f>_xlfn.XLOOKUP(Table3[[#This Row],[Cust Code]],'Customer Details '!A:A,'Customer Details '!M:M," ",0)</f>
        <v>FARRAMS CLOTHING AND FOOTWEAR</v>
      </c>
      <c r="Y16" s="114">
        <f>_xlfn.XLOOKUP(Table3[[#This Row],[Cust Code]],' CVM'!C:C,' CVM'!H:H," ",0)</f>
        <v>46058</v>
      </c>
      <c r="Z16" s="115">
        <f>_xlfn.XLOOKUP(Table3[[#This Row],[Cust Code]],' CVM'!C:C,' CVM'!I:I," ",0)</f>
        <v>1</v>
      </c>
      <c r="AA16" s="115">
        <f>_xlfn.XLOOKUP(Table3[[#This Row],[Cust Code]],' CVM'!C:C,' CVM'!J:J," ",0)</f>
        <v>1</v>
      </c>
      <c r="AB16" s="89" t="s">
        <v>469</v>
      </c>
      <c r="AC16" s="232" t="s">
        <v>471</v>
      </c>
      <c r="AD16" s="232"/>
      <c r="AE16" s="230"/>
      <c r="AG16" s="234" t="s">
        <v>469</v>
      </c>
      <c r="AH16" s="235" t="s">
        <v>476</v>
      </c>
      <c r="AI16" s="235"/>
      <c r="AJ16" s="236"/>
      <c r="AL16" s="240"/>
      <c r="AM16" s="241"/>
      <c r="AN16" s="241"/>
      <c r="AO16" s="242"/>
    </row>
    <row r="17" spans="1:41" ht="23.25">
      <c r="A17" s="188" t="str">
        <f>_xlfn.XLOOKUP($V17,'Customer Details '!$A:$A,'Customer Details '!F:F," ",0)</f>
        <v>157 KELLY STREET</v>
      </c>
      <c r="B17" s="188" t="str">
        <f>_xlfn.XLOOKUP($V17,'Customer Details '!$A:$A,'Customer Details '!G:G," ",0)</f>
        <v>-</v>
      </c>
      <c r="C17" s="188" t="str">
        <f>_xlfn.XLOOKUP($V17,'Customer Details '!$A:$A,'Customer Details '!H:H," ",0)</f>
        <v>SCONE</v>
      </c>
      <c r="D17" s="188" t="str">
        <f>_xlfn.XLOOKUP($V17,'Customer Details '!$A:$A,'Customer Details '!I:I," ",0)</f>
        <v>NSW</v>
      </c>
      <c r="E17" s="188" t="str">
        <f>_xlfn.XLOOKUP($V17,'Customer Details '!$A:$A,'Customer Details '!J:J," ",0)</f>
        <v>2337</v>
      </c>
      <c r="F17" s="188" t="str">
        <f>_xlfn.XLOOKUP($V17,'Customer Details '!$A:$A,'Customer Details '!K:K," ",0)</f>
        <v>AUSTRALIA</v>
      </c>
      <c r="G17" s="188" t="str">
        <f>_xlfn.XLOOKUP($V17,'Customer Details '!$A:$A,'Customer Details '!L:L," ",0)</f>
        <v>Neil McRae - Debra</v>
      </c>
      <c r="H17" s="189"/>
      <c r="I17" s="189"/>
      <c r="J17" s="189"/>
      <c r="K17" s="189"/>
      <c r="L17" s="189"/>
      <c r="M17" s="189"/>
      <c r="N17" s="189"/>
      <c r="O17" s="189"/>
      <c r="P17" s="189"/>
      <c r="Q17" s="189"/>
      <c r="R17" s="189"/>
      <c r="S17" s="189"/>
      <c r="T17">
        <v>13</v>
      </c>
      <c r="U17" s="113" t="str">
        <f>'Get Data -NSW(North)'!A14</f>
        <v>NSW (North)</v>
      </c>
      <c r="V17" s="113">
        <f>'Get Data -NSW(North)'!E14</f>
        <v>29215</v>
      </c>
      <c r="W17" s="113" t="str">
        <f>'Get Data -NSW(North)'!F14</f>
        <v>FARRAMS CLOTHING AND FOOTWEAR, SCONE</v>
      </c>
      <c r="X17" s="244" t="str">
        <f>_xlfn.XLOOKUP(Table3[[#This Row],[Cust Code]],'Customer Details '!A:A,'Customer Details '!M:M," ",0)</f>
        <v>FARRAMS CLOTHING AND FOOTWEAR</v>
      </c>
      <c r="Y17" s="114">
        <f>_xlfn.XLOOKUP(Table3[[#This Row],[Cust Code]],' CVM'!C:C,' CVM'!H:H," ",0)</f>
        <v>46066</v>
      </c>
      <c r="Z17" s="115">
        <f>_xlfn.XLOOKUP(Table3[[#This Row],[Cust Code]],' CVM'!C:C,' CVM'!I:I," ",0)</f>
        <v>1</v>
      </c>
      <c r="AA17" s="115">
        <f>_xlfn.XLOOKUP(Table3[[#This Row],[Cust Code]],' CVM'!C:C,' CVM'!J:J," ",0)</f>
        <v>1</v>
      </c>
      <c r="AB17" s="89" t="s">
        <v>469</v>
      </c>
      <c r="AC17" s="232" t="s">
        <v>474</v>
      </c>
      <c r="AD17" s="232" t="s">
        <v>478</v>
      </c>
      <c r="AE17" s="268"/>
      <c r="AF17" t="s">
        <v>505</v>
      </c>
      <c r="AG17" s="234" t="s">
        <v>469</v>
      </c>
      <c r="AH17" s="235" t="s">
        <v>476</v>
      </c>
      <c r="AI17" s="235"/>
      <c r="AJ17" s="236"/>
      <c r="AL17" s="240"/>
      <c r="AM17" s="241"/>
      <c r="AN17" s="241"/>
      <c r="AO17" s="242"/>
    </row>
    <row r="18" spans="1:41" ht="16.5">
      <c r="A18" s="188" t="str">
        <f>_xlfn.XLOOKUP($V18,'Customer Details '!$A:$A,'Customer Details '!F:F," ",0)</f>
        <v>66 ORLANDO ROAD</v>
      </c>
      <c r="B18" s="188" t="str">
        <f>_xlfn.XLOOKUP($V18,'Customer Details '!$A:$A,'Customer Details '!G:G," ",0)</f>
        <v>-</v>
      </c>
      <c r="C18" s="188" t="str">
        <f>_xlfn.XLOOKUP($V18,'Customer Details '!$A:$A,'Customer Details '!H:H," ",0)</f>
        <v>LAMBTON</v>
      </c>
      <c r="D18" s="188" t="str">
        <f>_xlfn.XLOOKUP($V18,'Customer Details '!$A:$A,'Customer Details '!I:I," ",0)</f>
        <v>NSW</v>
      </c>
      <c r="E18" s="188" t="str">
        <f>_xlfn.XLOOKUP($V18,'Customer Details '!$A:$A,'Customer Details '!J:J," ",0)</f>
        <v>2299</v>
      </c>
      <c r="F18" s="188" t="str">
        <f>_xlfn.XLOOKUP($V18,'Customer Details '!$A:$A,'Customer Details '!K:K," ",0)</f>
        <v>AUSTRALIA</v>
      </c>
      <c r="G18" s="188" t="str">
        <f>_xlfn.XLOOKUP($V18,'Customer Details '!$A:$A,'Customer Details '!L:L," ",0)</f>
        <v>Robert /Angela acc's</v>
      </c>
      <c r="H18" s="189"/>
      <c r="I18" s="189"/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>
        <v>14</v>
      </c>
      <c r="U18" s="113" t="str">
        <f>'Get Data -NSW(North)'!A15</f>
        <v>NSW (North)</v>
      </c>
      <c r="V18" s="113">
        <f>'Get Data -NSW(North)'!E15</f>
        <v>27536</v>
      </c>
      <c r="W18" s="113" t="str">
        <f>'Get Data -NSW(North)'!F15</f>
        <v>FLANAGANS MENSWEAR &amp; CORPORATE SPECIALISTS PTY LTD</v>
      </c>
      <c r="X18" s="244" t="str">
        <f>_xlfn.XLOOKUP(Table3[[#This Row],[Cust Code]],'Customer Details '!A:A,'Customer Details '!M:M," ",0)</f>
        <v>FLANAGANS</v>
      </c>
      <c r="Y18" s="114">
        <f>_xlfn.XLOOKUP(Table3[[#This Row],[Cust Code]],' CVM'!C:C,' CVM'!H:H," ",0)</f>
        <v>46058</v>
      </c>
      <c r="Z18" s="115">
        <f>_xlfn.XLOOKUP(Table3[[#This Row],[Cust Code]],' CVM'!C:C,' CVM'!I:I," ",0)</f>
        <v>1</v>
      </c>
      <c r="AA18" s="115">
        <f>_xlfn.XLOOKUP(Table3[[#This Row],[Cust Code]],' CVM'!C:C,' CVM'!J:J," ",0)</f>
        <v>1</v>
      </c>
      <c r="AB18" s="89" t="s">
        <v>469</v>
      </c>
      <c r="AC18" s="232" t="s">
        <v>474</v>
      </c>
      <c r="AD18" s="232" t="s">
        <v>478</v>
      </c>
      <c r="AE18" s="230"/>
      <c r="AF18" t="s">
        <v>505</v>
      </c>
      <c r="AG18" s="234"/>
      <c r="AH18" s="235"/>
      <c r="AI18" s="235"/>
      <c r="AJ18" s="236"/>
      <c r="AL18" s="240"/>
      <c r="AM18" s="241"/>
      <c r="AN18" s="241"/>
      <c r="AO18" s="242"/>
    </row>
    <row r="19" spans="1:41">
      <c r="A19" s="188" t="str">
        <f>_xlfn.XLOOKUP($V19,'Customer Details '!$A:$A,'Customer Details '!F:F," ",0)</f>
        <v>38 MARSHALL ST</v>
      </c>
      <c r="B19" s="188" t="str">
        <f>_xlfn.XLOOKUP($V19,'Customer Details '!$A:$A,'Customer Details '!G:G," ",0)</f>
        <v>-</v>
      </c>
      <c r="C19" s="188" t="str">
        <f>_xlfn.XLOOKUP($V19,'Customer Details '!$A:$A,'Customer Details '!H:H," ",0)</f>
        <v>COBAR</v>
      </c>
      <c r="D19" s="188" t="str">
        <f>_xlfn.XLOOKUP($V19,'Customer Details '!$A:$A,'Customer Details '!I:I," ",0)</f>
        <v>NSW</v>
      </c>
      <c r="E19" s="188" t="str">
        <f>_xlfn.XLOOKUP($V19,'Customer Details '!$A:$A,'Customer Details '!J:J," ",0)</f>
        <v>2835</v>
      </c>
      <c r="F19" s="188" t="str">
        <f>_xlfn.XLOOKUP($V19,'Customer Details '!$A:$A,'Customer Details '!K:K," ",0)</f>
        <v>AUSTRALIA</v>
      </c>
      <c r="G19" s="188" t="str">
        <f>_xlfn.XLOOKUP($V19,'Customer Details '!$A:$A,'Customer Details '!L:L," ",0)</f>
        <v>KELLY</v>
      </c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>
        <v>15</v>
      </c>
      <c r="U19" s="113" t="str">
        <f>'Get Data -NSW(North)'!A16</f>
        <v>NSW (North)</v>
      </c>
      <c r="V19" s="113" t="str">
        <f>'Get Data -NSW(North)'!E16</f>
        <v>24479F</v>
      </c>
      <c r="W19" s="113" t="str">
        <f>'Get Data -NSW(North)'!F16</f>
        <v>FXD - BRILLIAMS</v>
      </c>
      <c r="X19" s="244" t="str">
        <f>_xlfn.XLOOKUP(Table3[[#This Row],[Cust Code]],'Customer Details '!A:A,'Customer Details '!M:M," ",0)</f>
        <v>BRILLIAMS</v>
      </c>
      <c r="Y19" s="114" t="str">
        <f>_xlfn.XLOOKUP(Table3[[#This Row],[Cust Code]],' CVM'!C:C,' CVM'!H:H," ",0)</f>
        <v/>
      </c>
      <c r="Z19" s="115">
        <f>_xlfn.XLOOKUP(Table3[[#This Row],[Cust Code]],' CVM'!C:C,' CVM'!I:I," ",0)</f>
        <v>0</v>
      </c>
      <c r="AA19" s="115">
        <f>_xlfn.XLOOKUP(Table3[[#This Row],[Cust Code]],' CVM'!C:C,' CVM'!J:J," ",0)</f>
        <v>0</v>
      </c>
      <c r="AB19" s="89"/>
      <c r="AC19" s="232"/>
      <c r="AD19" s="232"/>
      <c r="AE19" s="230"/>
      <c r="AG19" s="234"/>
      <c r="AH19" s="235"/>
      <c r="AI19" s="235"/>
      <c r="AJ19" s="236"/>
      <c r="AL19" s="240"/>
      <c r="AM19" s="241"/>
      <c r="AN19" s="241"/>
      <c r="AO19" s="242"/>
    </row>
    <row r="20" spans="1:41" ht="16.5">
      <c r="A20" s="188" t="str">
        <f>_xlfn.XLOOKUP($V20,'Customer Details '!$A:$A,'Customer Details '!F:F," ",0)</f>
        <v>26 JOHN ST</v>
      </c>
      <c r="B20" s="188" t="str">
        <f>_xlfn.XLOOKUP($V20,'Customer Details '!$A:$A,'Customer Details '!G:G," ",0)</f>
        <v>-</v>
      </c>
      <c r="C20" s="188" t="str">
        <f>_xlfn.XLOOKUP($V20,'Customer Details '!$A:$A,'Customer Details '!H:H," ",0)</f>
        <v>COONABARABRAN</v>
      </c>
      <c r="D20" s="188" t="str">
        <f>_xlfn.XLOOKUP($V20,'Customer Details '!$A:$A,'Customer Details '!I:I," ",0)</f>
        <v>NSW</v>
      </c>
      <c r="E20" s="188" t="str">
        <f>_xlfn.XLOOKUP($V20,'Customer Details '!$A:$A,'Customer Details '!J:J," ",0)</f>
        <v>2357</v>
      </c>
      <c r="F20" s="188" t="str">
        <f>_xlfn.XLOOKUP($V20,'Customer Details '!$A:$A,'Customer Details '!K:K," ",0)</f>
        <v>AUSTRALIA</v>
      </c>
      <c r="G20" s="188" t="str">
        <f>_xlfn.XLOOKUP($V20,'Customer Details '!$A:$A,'Customer Details '!L:L," ",0)</f>
        <v>Jo</v>
      </c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>
        <v>16</v>
      </c>
      <c r="U20" s="113" t="str">
        <f>'Get Data -NSW(North)'!A17</f>
        <v>NSW (North)</v>
      </c>
      <c r="V20" s="113" t="str">
        <f>'Get Data -NSW(North)'!E17</f>
        <v>29893F</v>
      </c>
      <c r="W20" s="113" t="str">
        <f>'Get Data -NSW(North)'!F17</f>
        <v>FXD SURF, WORK &amp; STREET</v>
      </c>
      <c r="X20" s="244" t="str">
        <f>_xlfn.XLOOKUP(Table3[[#This Row],[Cust Code]],'Customer Details '!A:A,'Customer Details '!M:M," ",0)</f>
        <v>SURF, WORK &amp; STREET</v>
      </c>
      <c r="Y20" s="114">
        <f>_xlfn.XLOOKUP(Table3[[#This Row],[Cust Code]],' CVM'!C:C,' CVM'!H:H," ",0)</f>
        <v>46063</v>
      </c>
      <c r="Z20" s="115">
        <f>_xlfn.XLOOKUP(Table3[[#This Row],[Cust Code]],' CVM'!C:C,' CVM'!I:I," ",0)</f>
        <v>1</v>
      </c>
      <c r="AA20" s="115">
        <f>_xlfn.XLOOKUP(Table3[[#This Row],[Cust Code]],' CVM'!C:C,' CVM'!J:J," ",0)</f>
        <v>1</v>
      </c>
      <c r="AB20" s="89" t="s">
        <v>469</v>
      </c>
      <c r="AC20" s="232" t="s">
        <v>471</v>
      </c>
      <c r="AD20" s="232"/>
      <c r="AE20" s="230"/>
      <c r="AG20" s="234" t="s">
        <v>469</v>
      </c>
      <c r="AH20" s="235" t="s">
        <v>474</v>
      </c>
      <c r="AI20" s="235"/>
      <c r="AJ20" s="236"/>
      <c r="AL20" s="240"/>
      <c r="AM20" s="241"/>
      <c r="AN20" s="241"/>
      <c r="AO20" s="242"/>
    </row>
    <row r="21" spans="1:41" ht="16.5">
      <c r="A21" s="188" t="str">
        <f>_xlfn.XLOOKUP($V21,'Customer Details '!$A:$A,'Customer Details '!F:F," ",0)</f>
        <v>5/54 YORK STREET</v>
      </c>
      <c r="B21" s="188" t="str">
        <f>_xlfn.XLOOKUP($V21,'Customer Details '!$A:$A,'Customer Details '!G:G," ",0)</f>
        <v>-</v>
      </c>
      <c r="C21" s="188" t="str">
        <f>_xlfn.XLOOKUP($V21,'Customer Details '!$A:$A,'Customer Details '!H:H," ",0)</f>
        <v>EAST GOSFORD</v>
      </c>
      <c r="D21" s="188" t="str">
        <f>_xlfn.XLOOKUP($V21,'Customer Details '!$A:$A,'Customer Details '!I:I," ",0)</f>
        <v>NSW</v>
      </c>
      <c r="E21" s="188" t="str">
        <f>_xlfn.XLOOKUP($V21,'Customer Details '!$A:$A,'Customer Details '!J:J," ",0)</f>
        <v>2250</v>
      </c>
      <c r="F21" s="188" t="str">
        <f>_xlfn.XLOOKUP($V21,'Customer Details '!$A:$A,'Customer Details '!K:K," ",0)</f>
        <v>AUSTRALIA</v>
      </c>
      <c r="G21" s="188" t="str">
        <f>_xlfn.XLOOKUP($V21,'Customer Details '!$A:$A,'Customer Details '!L:L," ",0)</f>
        <v>Sally Davies</v>
      </c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>
        <v>17</v>
      </c>
      <c r="U21" s="113" t="str">
        <f>'Get Data -NSW(North)'!A18</f>
        <v>NSW (North)</v>
      </c>
      <c r="V21" s="113">
        <f>'Get Data -NSW(North)'!E18</f>
        <v>29986</v>
      </c>
      <c r="W21" s="113" t="str">
        <f>'Get Data -NSW(North)'!F18</f>
        <v>G &amp; J KEANE INVESTMENTS PTY LTD</v>
      </c>
      <c r="X21" s="244" t="str">
        <f>_xlfn.XLOOKUP(Table3[[#This Row],[Cust Code]],'Customer Details '!A:A,'Customer Details '!M:M," ",0)</f>
        <v>WORKWEAR EXPRESS</v>
      </c>
      <c r="Y21" s="114">
        <f>_xlfn.XLOOKUP(Table3[[#This Row],[Cust Code]],' CVM'!C:C,' CVM'!H:H," ",0)</f>
        <v>46057</v>
      </c>
      <c r="Z21" s="115">
        <f>_xlfn.XLOOKUP(Table3[[#This Row],[Cust Code]],' CVM'!C:C,' CVM'!I:I," ",0)</f>
        <v>1</v>
      </c>
      <c r="AA21" s="115">
        <f>_xlfn.XLOOKUP(Table3[[#This Row],[Cust Code]],' CVM'!C:C,' CVM'!J:J," ",0)</f>
        <v>1</v>
      </c>
      <c r="AB21" s="89" t="s">
        <v>469</v>
      </c>
      <c r="AC21" s="232" t="s">
        <v>471</v>
      </c>
      <c r="AD21" s="232"/>
      <c r="AE21" s="230"/>
      <c r="AG21" s="234" t="s">
        <v>469</v>
      </c>
      <c r="AH21" s="235" t="s">
        <v>476</v>
      </c>
      <c r="AI21" s="235"/>
      <c r="AJ21" s="236"/>
      <c r="AL21" s="240"/>
      <c r="AM21" s="241"/>
      <c r="AN21" s="241"/>
      <c r="AO21" s="242"/>
    </row>
    <row r="22" spans="1:41">
      <c r="A22" s="188" t="str">
        <f>_xlfn.XLOOKUP($V22,'Customer Details '!$A:$A,'Customer Details '!F:F," ",0)</f>
        <v>2 SWANBROOK ROAD</v>
      </c>
      <c r="B22" s="188" t="str">
        <f>_xlfn.XLOOKUP($V22,'Customer Details '!$A:$A,'Customer Details '!G:G," ",0)</f>
        <v>.</v>
      </c>
      <c r="C22" s="188" t="str">
        <f>_xlfn.XLOOKUP($V22,'Customer Details '!$A:$A,'Customer Details '!H:H," ",0)</f>
        <v>INVERELL</v>
      </c>
      <c r="D22" s="188" t="str">
        <f>_xlfn.XLOOKUP($V22,'Customer Details '!$A:$A,'Customer Details '!I:I," ",0)</f>
        <v>NSW</v>
      </c>
      <c r="E22" s="188" t="str">
        <f>_xlfn.XLOOKUP($V22,'Customer Details '!$A:$A,'Customer Details '!J:J," ",0)</f>
        <v>2360</v>
      </c>
      <c r="F22" s="188" t="str">
        <f>_xlfn.XLOOKUP($V22,'Customer Details '!$A:$A,'Customer Details '!K:K," ",0)</f>
        <v>AUSTRALIA</v>
      </c>
      <c r="G22" s="188" t="str">
        <f>_xlfn.XLOOKUP($V22,'Customer Details '!$A:$A,'Customer Details '!L:L," ",0)</f>
        <v>Sonia acc's</v>
      </c>
      <c r="H22" s="189"/>
      <c r="I22" s="189"/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>
        <v>18</v>
      </c>
      <c r="U22" s="113" t="str">
        <f>'Get Data -NSW(North)'!A19</f>
        <v>NSW (North)</v>
      </c>
      <c r="V22" s="113">
        <f>'Get Data -NSW(North)'!E19</f>
        <v>23966</v>
      </c>
      <c r="W22" s="113" t="str">
        <f>'Get Data -NSW(North)'!F19</f>
        <v>G.C KING &amp; R.  T/AS HIP POCKET INVERELL</v>
      </c>
      <c r="X22" s="244" t="str">
        <f>_xlfn.XLOOKUP(Table3[[#This Row],[Cust Code]],'Customer Details '!A:A,'Customer Details '!M:M," ",0)</f>
        <v>HIP POCKET WORKWEAR &amp; SAFETY - NORTH WEST</v>
      </c>
      <c r="Y22" s="114">
        <f>_xlfn.XLOOKUP(Table3[[#This Row],[Cust Code]],' CVM'!C:C,' CVM'!H:H," ",0)</f>
        <v>46064</v>
      </c>
      <c r="Z22" s="115">
        <f>_xlfn.XLOOKUP(Table3[[#This Row],[Cust Code]],' CVM'!C:C,' CVM'!I:I," ",0)</f>
        <v>1</v>
      </c>
      <c r="AA22" s="115">
        <f>_xlfn.XLOOKUP(Table3[[#This Row],[Cust Code]],' CVM'!C:C,' CVM'!J:J," ",0)</f>
        <v>1</v>
      </c>
      <c r="AB22" s="89" t="s">
        <v>469</v>
      </c>
      <c r="AC22" s="232" t="s">
        <v>471</v>
      </c>
      <c r="AD22" s="232"/>
      <c r="AE22" s="230"/>
      <c r="AG22" s="234" t="s">
        <v>469</v>
      </c>
      <c r="AH22" s="235" t="s">
        <v>474</v>
      </c>
      <c r="AI22" s="235"/>
      <c r="AJ22" s="236"/>
      <c r="AL22" s="240"/>
      <c r="AM22" s="241"/>
      <c r="AN22" s="241"/>
      <c r="AO22" s="242"/>
    </row>
    <row r="23" spans="1:41" ht="23.25">
      <c r="A23" s="188" t="str">
        <f>_xlfn.XLOOKUP($V23,'Customer Details '!$A:$A,'Customer Details '!F:F," ",0)</f>
        <v>123 TALBRAGAR STREET</v>
      </c>
      <c r="B23" s="188" t="str">
        <f>_xlfn.XLOOKUP($V23,'Customer Details '!$A:$A,'Customer Details '!G:G," ",0)</f>
        <v>-</v>
      </c>
      <c r="C23" s="188" t="str">
        <f>_xlfn.XLOOKUP($V23,'Customer Details '!$A:$A,'Customer Details '!H:H," ",0)</f>
        <v>DUBBO</v>
      </c>
      <c r="D23" s="188" t="str">
        <f>_xlfn.XLOOKUP($V23,'Customer Details '!$A:$A,'Customer Details '!I:I," ",0)</f>
        <v>NSW</v>
      </c>
      <c r="E23" s="188" t="str">
        <f>_xlfn.XLOOKUP($V23,'Customer Details '!$A:$A,'Customer Details '!J:J," ",0)</f>
        <v>2830</v>
      </c>
      <c r="F23" s="188" t="str">
        <f>_xlfn.XLOOKUP($V23,'Customer Details '!$A:$A,'Customer Details '!K:K," ",0)</f>
        <v>AUSTRALIA</v>
      </c>
      <c r="G23" s="188" t="str">
        <f>_xlfn.XLOOKUP($V23,'Customer Details '!$A:$A,'Customer Details '!L:L," ",0)</f>
        <v>Chris Hall</v>
      </c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>
        <v>19</v>
      </c>
      <c r="U23" s="113" t="str">
        <f>'Get Data -NSW(North)'!A20</f>
        <v>NSW (North)</v>
      </c>
      <c r="V23" s="113">
        <f>'Get Data -NSW(North)'!E20</f>
        <v>29767</v>
      </c>
      <c r="W23" s="113" t="str">
        <f>'Get Data -NSW(North)'!F20</f>
        <v>HENDERSONS MENSWEAR</v>
      </c>
      <c r="X23" s="244" t="str">
        <f>_xlfn.XLOOKUP(Table3[[#This Row],[Cust Code]],'Customer Details '!A:A,'Customer Details '!M:M," ",0)</f>
        <v>HENDERSONS MENSWEAR</v>
      </c>
      <c r="Y23" s="114">
        <f>_xlfn.XLOOKUP(Table3[[#This Row],[Cust Code]],' CVM'!C:C,' CVM'!H:H," ",0)</f>
        <v>46062</v>
      </c>
      <c r="Z23" s="115">
        <f>_xlfn.XLOOKUP(Table3[[#This Row],[Cust Code]],' CVM'!C:C,' CVM'!I:I," ",0)</f>
        <v>1</v>
      </c>
      <c r="AA23" s="115">
        <f>_xlfn.XLOOKUP(Table3[[#This Row],[Cust Code]],' CVM'!C:C,' CVM'!J:J," ",0)</f>
        <v>1</v>
      </c>
      <c r="AB23" s="89" t="s">
        <v>469</v>
      </c>
      <c r="AC23" s="232" t="s">
        <v>476</v>
      </c>
      <c r="AD23" s="267" t="s">
        <v>478</v>
      </c>
      <c r="AE23" s="230"/>
      <c r="AF23" t="s">
        <v>505</v>
      </c>
      <c r="AG23" s="234" t="s">
        <v>469</v>
      </c>
      <c r="AH23" s="235" t="s">
        <v>474</v>
      </c>
      <c r="AI23" s="235"/>
      <c r="AJ23" s="236"/>
      <c r="AL23" s="240"/>
      <c r="AM23" s="241"/>
      <c r="AN23" s="241"/>
      <c r="AO23" s="242"/>
    </row>
    <row r="24" spans="1:41" ht="16.5">
      <c r="A24" s="188" t="str">
        <f>_xlfn.XLOOKUP($V24,'Customer Details '!$A:$A,'Customer Details '!F:F," ",0)</f>
        <v>5/6 BOTHAM CLOSE</v>
      </c>
      <c r="B24" s="188" t="str">
        <f>_xlfn.XLOOKUP($V24,'Customer Details '!$A:$A,'Customer Details '!G:G," ",0)</f>
        <v>-</v>
      </c>
      <c r="C24" s="188" t="str">
        <f>_xlfn.XLOOKUP($V24,'Customer Details '!$A:$A,'Customer Details '!H:H," ",0)</f>
        <v>CHARMHAVEN</v>
      </c>
      <c r="D24" s="188" t="str">
        <f>_xlfn.XLOOKUP($V24,'Customer Details '!$A:$A,'Customer Details '!I:I," ",0)</f>
        <v>NSW</v>
      </c>
      <c r="E24" s="188" t="str">
        <f>_xlfn.XLOOKUP($V24,'Customer Details '!$A:$A,'Customer Details '!J:J," ",0)</f>
        <v>2263</v>
      </c>
      <c r="F24" s="188" t="str">
        <f>_xlfn.XLOOKUP($V24,'Customer Details '!$A:$A,'Customer Details '!K:K," ",0)</f>
        <v>AUSTRALIA</v>
      </c>
      <c r="G24" s="188" t="str">
        <f>_xlfn.XLOOKUP($V24,'Customer Details '!$A:$A,'Customer Details '!L:L," ",0)</f>
        <v>Caleb Jones</v>
      </c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>
        <v>20</v>
      </c>
      <c r="U24" s="113" t="str">
        <f>'Get Data -NSW(North)'!A21</f>
        <v>NSW (North)</v>
      </c>
      <c r="V24" s="113">
        <f>'Get Data -NSW(North)'!E21</f>
        <v>28975</v>
      </c>
      <c r="W24" s="113" t="str">
        <f>'Get Data -NSW(North)'!F21</f>
        <v>HIP POCKET CHARMHAVEN</v>
      </c>
      <c r="X24" s="244" t="str">
        <f>_xlfn.XLOOKUP(Table3[[#This Row],[Cust Code]],'Customer Details '!A:A,'Customer Details '!M:M," ",0)</f>
        <v>HIP POCKET WORKWEAR &amp; SAFETY CHARMHAVEN</v>
      </c>
      <c r="Y24" s="114">
        <f>_xlfn.XLOOKUP(Table3[[#This Row],[Cust Code]],' CVM'!C:C,' CVM'!H:H," ",0)</f>
        <v>46058</v>
      </c>
      <c r="Z24" s="115">
        <f>_xlfn.XLOOKUP(Table3[[#This Row],[Cust Code]],' CVM'!C:C,' CVM'!I:I," ",0)</f>
        <v>1</v>
      </c>
      <c r="AA24" s="115">
        <f>_xlfn.XLOOKUP(Table3[[#This Row],[Cust Code]],' CVM'!C:C,' CVM'!J:J," ",0)</f>
        <v>1</v>
      </c>
      <c r="AB24" s="89" t="s">
        <v>469</v>
      </c>
      <c r="AC24" s="232" t="s">
        <v>471</v>
      </c>
      <c r="AD24" s="232"/>
      <c r="AE24" s="230"/>
      <c r="AG24" s="234" t="s">
        <v>469</v>
      </c>
      <c r="AH24" s="235" t="s">
        <v>476</v>
      </c>
      <c r="AI24" s="235"/>
      <c r="AJ24" s="236"/>
      <c r="AL24" s="240"/>
      <c r="AM24" s="241"/>
      <c r="AN24" s="241"/>
      <c r="AO24" s="242"/>
    </row>
    <row r="25" spans="1:41" ht="23.25">
      <c r="A25" s="188" t="str">
        <f>_xlfn.XLOOKUP($V25,'Customer Details '!$A:$A,'Customer Details '!F:F," ",0)</f>
        <v>5 IOLANTHE STREET</v>
      </c>
      <c r="B25" s="188" t="str">
        <f>_xlfn.XLOOKUP($V25,'Customer Details '!$A:$A,'Customer Details '!G:G," ",0)</f>
        <v>.</v>
      </c>
      <c r="C25" s="188" t="str">
        <f>_xlfn.XLOOKUP($V25,'Customer Details '!$A:$A,'Customer Details '!H:H," ",0)</f>
        <v>SOUTH GRAFTON</v>
      </c>
      <c r="D25" s="188" t="str">
        <f>_xlfn.XLOOKUP($V25,'Customer Details '!$A:$A,'Customer Details '!I:I," ",0)</f>
        <v>NSW</v>
      </c>
      <c r="E25" s="188" t="str">
        <f>_xlfn.XLOOKUP($V25,'Customer Details '!$A:$A,'Customer Details '!J:J," ",0)</f>
        <v>2460</v>
      </c>
      <c r="F25" s="188" t="str">
        <f>_xlfn.XLOOKUP($V25,'Customer Details '!$A:$A,'Customer Details '!K:K," ",0)</f>
        <v>AUSTRALIA</v>
      </c>
      <c r="G25" s="188" t="str">
        <f>_xlfn.XLOOKUP($V25,'Customer Details '!$A:$A,'Customer Details '!L:L," ",0)</f>
        <v>Steven McPherson</v>
      </c>
      <c r="H25" s="189"/>
      <c r="I25" s="189"/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>
        <v>21</v>
      </c>
      <c r="U25" s="113" t="str">
        <f>'Get Data -NSW(North)'!A22</f>
        <v>NSW (North)</v>
      </c>
      <c r="V25" s="113">
        <f>'Get Data -NSW(North)'!E22</f>
        <v>29441</v>
      </c>
      <c r="W25" s="113" t="str">
        <f>'Get Data -NSW(North)'!F22</f>
        <v>HIP POCKET GRAFTON</v>
      </c>
      <c r="X25" s="244" t="str">
        <f>_xlfn.XLOOKUP(Table3[[#This Row],[Cust Code]],'Customer Details '!A:A,'Customer Details '!M:M," ",0)</f>
        <v>HIP POCKET WORKWEAR &amp; SAFETY GRAFTON</v>
      </c>
      <c r="Y25" s="114" t="str">
        <f>_xlfn.XLOOKUP(Table3[[#This Row],[Cust Code]],' CVM'!C:C,' CVM'!H:H," ",0)</f>
        <v/>
      </c>
      <c r="Z25" s="115">
        <f>_xlfn.XLOOKUP(Table3[[#This Row],[Cust Code]],' CVM'!C:C,' CVM'!I:I," ",0)</f>
        <v>0</v>
      </c>
      <c r="AA25" s="115">
        <f>_xlfn.XLOOKUP(Table3[[#This Row],[Cust Code]],' CVM'!C:C,' CVM'!J:J," ",0)</f>
        <v>0</v>
      </c>
      <c r="AB25" s="89" t="s">
        <v>469</v>
      </c>
      <c r="AC25" s="232" t="s">
        <v>476</v>
      </c>
      <c r="AD25" s="232" t="s">
        <v>478</v>
      </c>
      <c r="AE25" s="230"/>
      <c r="AG25" s="234"/>
      <c r="AH25" s="235"/>
      <c r="AI25" s="235"/>
      <c r="AJ25" s="236"/>
      <c r="AL25" s="240"/>
      <c r="AM25" s="241"/>
      <c r="AN25" s="241"/>
      <c r="AO25" s="242"/>
    </row>
    <row r="26" spans="1:41">
      <c r="A26" s="188" t="str">
        <f>_xlfn.XLOOKUP($V26,'Customer Details '!$A:$A,'Customer Details '!F:F," ",0)</f>
        <v>120 NEWCASTLE ROAD</v>
      </c>
      <c r="B26" s="188" t="str">
        <f>_xlfn.XLOOKUP($V26,'Customer Details '!$A:$A,'Customer Details '!G:G," ",0)</f>
        <v>-</v>
      </c>
      <c r="C26" s="188" t="str">
        <f>_xlfn.XLOOKUP($V26,'Customer Details '!$A:$A,'Customer Details '!H:H," ",0)</f>
        <v>WALLSEND</v>
      </c>
      <c r="D26" s="188" t="str">
        <f>_xlfn.XLOOKUP($V26,'Customer Details '!$A:$A,'Customer Details '!I:I," ",0)</f>
        <v>NSW</v>
      </c>
      <c r="E26" s="188" t="str">
        <f>_xlfn.XLOOKUP($V26,'Customer Details '!$A:$A,'Customer Details '!J:J," ",0)</f>
        <v>2287</v>
      </c>
      <c r="F26" s="188" t="str">
        <f>_xlfn.XLOOKUP($V26,'Customer Details '!$A:$A,'Customer Details '!K:K," ",0)</f>
        <v>AUSTRALIA</v>
      </c>
      <c r="G26" s="188" t="str">
        <f>_xlfn.XLOOKUP($V26,'Customer Details '!$A:$A,'Customer Details '!L:L," ",0)</f>
        <v>Jan</v>
      </c>
      <c r="H26" s="189"/>
      <c r="I26" s="189"/>
      <c r="J26" s="189"/>
      <c r="K26" s="189"/>
      <c r="L26" s="189"/>
      <c r="M26" s="189"/>
      <c r="N26" s="189"/>
      <c r="O26" s="189"/>
      <c r="P26" s="189"/>
      <c r="Q26" s="189"/>
      <c r="R26" s="189"/>
      <c r="S26" s="189"/>
      <c r="T26">
        <v>22</v>
      </c>
      <c r="U26" s="113" t="str">
        <f>'Get Data -NSW(North)'!A23</f>
        <v>NSW (North)</v>
      </c>
      <c r="V26" s="113">
        <f>'Get Data -NSW(North)'!E23</f>
        <v>28965</v>
      </c>
      <c r="W26" s="113" t="str">
        <f>'Get Data -NSW(North)'!F23</f>
        <v>HIP POCKET HUNTER P/L t/as HIP POCKET NEWCASTLE</v>
      </c>
      <c r="X26" s="244" t="str">
        <f>_xlfn.XLOOKUP(Table3[[#This Row],[Cust Code]],'Customer Details '!A:A,'Customer Details '!M:M," ",0)</f>
        <v>HIP POCKET WORKWEAR &amp; SAFETY  HUNTER</v>
      </c>
      <c r="Y26" s="114">
        <f>_xlfn.XLOOKUP(Table3[[#This Row],[Cust Code]],' CVM'!C:C,' CVM'!H:H," ",0)</f>
        <v>46059</v>
      </c>
      <c r="Z26" s="115">
        <f>_xlfn.XLOOKUP(Table3[[#This Row],[Cust Code]],' CVM'!C:C,' CVM'!I:I," ",0)</f>
        <v>1</v>
      </c>
      <c r="AA26" s="115">
        <f>_xlfn.XLOOKUP(Table3[[#This Row],[Cust Code]],' CVM'!C:C,' CVM'!J:J," ",0)</f>
        <v>1</v>
      </c>
      <c r="AB26" s="89" t="s">
        <v>469</v>
      </c>
      <c r="AC26" s="232" t="s">
        <v>471</v>
      </c>
      <c r="AD26" s="232"/>
      <c r="AE26" s="230"/>
      <c r="AG26" s="234"/>
      <c r="AH26" s="235"/>
      <c r="AI26" s="235"/>
      <c r="AJ26" s="236"/>
      <c r="AL26" s="240"/>
      <c r="AM26" s="241"/>
      <c r="AN26" s="241"/>
      <c r="AO26" s="242"/>
    </row>
    <row r="27" spans="1:41" ht="16.5">
      <c r="A27" s="188" t="str">
        <f>_xlfn.XLOOKUP($V27,'Customer Details '!$A:$A,'Customer Details '!F:F," ",0)</f>
        <v>SHOP 15, 15 NORTH MALL</v>
      </c>
      <c r="B27" s="188" t="str">
        <f>_xlfn.XLOOKUP($V27,'Customer Details '!$A:$A,'Customer Details '!G:G," ",0)</f>
        <v>.</v>
      </c>
      <c r="C27" s="188" t="str">
        <f>_xlfn.XLOOKUP($V27,'Customer Details '!$A:$A,'Customer Details '!H:H," ",0)</f>
        <v>RUTHERFORD</v>
      </c>
      <c r="D27" s="188" t="str">
        <f>_xlfn.XLOOKUP($V27,'Customer Details '!$A:$A,'Customer Details '!I:I," ",0)</f>
        <v>NSW</v>
      </c>
      <c r="E27" s="188" t="str">
        <f>_xlfn.XLOOKUP($V27,'Customer Details '!$A:$A,'Customer Details '!J:J," ",0)</f>
        <v>2320</v>
      </c>
      <c r="F27" s="188" t="str">
        <f>_xlfn.XLOOKUP($V27,'Customer Details '!$A:$A,'Customer Details '!K:K," ",0)</f>
        <v>AUSTRALIA</v>
      </c>
      <c r="G27" s="188" t="str">
        <f>_xlfn.XLOOKUP($V27,'Customer Details '!$A:$A,'Customer Details '!L:L," ",0)</f>
        <v>-</v>
      </c>
      <c r="H27" s="189"/>
      <c r="I27" s="189"/>
      <c r="J27" s="189"/>
      <c r="K27" s="189"/>
      <c r="L27" s="189"/>
      <c r="M27" s="189"/>
      <c r="N27" s="189"/>
      <c r="O27" s="189"/>
      <c r="P27" s="189"/>
      <c r="Q27" s="189"/>
      <c r="R27" s="189"/>
      <c r="S27" s="189"/>
      <c r="T27">
        <v>23</v>
      </c>
      <c r="U27" s="113" t="str">
        <f>'Get Data -NSW(North)'!A24</f>
        <v>NSW (North)</v>
      </c>
      <c r="V27" s="113">
        <f>'Get Data -NSW(North)'!E24</f>
        <v>29335</v>
      </c>
      <c r="W27" s="113" t="str">
        <f>'Get Data -NSW(North)'!F24</f>
        <v>HIP POCKET MAITLAND</v>
      </c>
      <c r="X27" s="244" t="str">
        <f>_xlfn.XLOOKUP(Table3[[#This Row],[Cust Code]],'Customer Details '!A:A,'Customer Details '!M:M," ",0)</f>
        <v>HIP POCKET WORKWEAR &amp;  SAFETY MAITLAND</v>
      </c>
      <c r="Y27" s="114">
        <f>_xlfn.XLOOKUP(Table3[[#This Row],[Cust Code]],' CVM'!C:C,' CVM'!H:H," ",0)</f>
        <v>46059</v>
      </c>
      <c r="Z27" s="115">
        <f>_xlfn.XLOOKUP(Table3[[#This Row],[Cust Code]],' CVM'!C:C,' CVM'!I:I," ",0)</f>
        <v>1</v>
      </c>
      <c r="AA27" s="115">
        <f>_xlfn.XLOOKUP(Table3[[#This Row],[Cust Code]],' CVM'!C:C,' CVM'!J:J," ",0)</f>
        <v>1</v>
      </c>
      <c r="AB27" s="89" t="s">
        <v>469</v>
      </c>
      <c r="AC27" s="232" t="s">
        <v>471</v>
      </c>
      <c r="AD27" s="267"/>
      <c r="AE27" s="230"/>
      <c r="AG27" s="234"/>
      <c r="AH27" s="235"/>
      <c r="AI27" s="235"/>
      <c r="AJ27" s="236"/>
      <c r="AL27" s="240"/>
      <c r="AM27" s="241"/>
      <c r="AN27" s="241"/>
      <c r="AO27" s="242"/>
    </row>
    <row r="28" spans="1:41">
      <c r="A28" s="188" t="str">
        <f>_xlfn.XLOOKUP($V28,'Customer Details '!$A:$A,'Customer Details '!F:F," ",0)</f>
        <v>SHOP 5 THORNTON SUPA CENTRE</v>
      </c>
      <c r="B28" s="188" t="str">
        <f>_xlfn.XLOOKUP($V28,'Customer Details '!$A:$A,'Customer Details '!G:G," ",0)</f>
        <v>2 NEW ENGLAND HWY</v>
      </c>
      <c r="C28" s="188" t="str">
        <f>_xlfn.XLOOKUP($V28,'Customer Details '!$A:$A,'Customer Details '!H:H," ",0)</f>
        <v>THORNTON</v>
      </c>
      <c r="D28" s="188" t="str">
        <f>_xlfn.XLOOKUP($V28,'Customer Details '!$A:$A,'Customer Details '!I:I," ",0)</f>
        <v>NSW</v>
      </c>
      <c r="E28" s="188" t="str">
        <f>_xlfn.XLOOKUP($V28,'Customer Details '!$A:$A,'Customer Details '!J:J," ",0)</f>
        <v>2322</v>
      </c>
      <c r="F28" s="188" t="str">
        <f>_xlfn.XLOOKUP($V28,'Customer Details '!$A:$A,'Customer Details '!K:K," ",0)</f>
        <v>AUSTRALIA</v>
      </c>
      <c r="G28" s="188" t="str">
        <f>_xlfn.XLOOKUP($V28,'Customer Details '!$A:$A,'Customer Details '!L:L," ",0)</f>
        <v>-</v>
      </c>
      <c r="H28" s="189"/>
      <c r="I28" s="189"/>
      <c r="J28" s="189"/>
      <c r="K28" s="189"/>
      <c r="L28" s="189"/>
      <c r="M28" s="189"/>
      <c r="N28" s="189"/>
      <c r="O28" s="189"/>
      <c r="P28" s="189"/>
      <c r="Q28" s="189"/>
      <c r="R28" s="189"/>
      <c r="S28" s="189"/>
      <c r="T28">
        <v>24</v>
      </c>
      <c r="U28" s="113" t="str">
        <f>'Get Data -NSW(North)'!A25</f>
        <v>NSW (North)</v>
      </c>
      <c r="V28" s="113">
        <f>'Get Data -NSW(North)'!E25</f>
        <v>28573</v>
      </c>
      <c r="W28" s="113" t="str">
        <f>'Get Data -NSW(North)'!F25</f>
        <v>HIP POCKET MAITLAND THORNTON</v>
      </c>
      <c r="X28" s="244" t="str">
        <f>_xlfn.XLOOKUP(Table3[[#This Row],[Cust Code]],'Customer Details '!A:A,'Customer Details '!M:M," ",0)</f>
        <v>HIP POCKET WORKWEAR &amp;  SAFETY THORNTON</v>
      </c>
      <c r="Y28" s="114">
        <f>_xlfn.XLOOKUP(Table3[[#This Row],[Cust Code]],' CVM'!C:C,' CVM'!H:H," ",0)</f>
        <v>46058</v>
      </c>
      <c r="Z28" s="115">
        <f>_xlfn.XLOOKUP(Table3[[#This Row],[Cust Code]],' CVM'!C:C,' CVM'!I:I," ",0)</f>
        <v>1</v>
      </c>
      <c r="AA28" s="115">
        <f>_xlfn.XLOOKUP(Table3[[#This Row],[Cust Code]],' CVM'!C:C,' CVM'!J:J," ",0)</f>
        <v>1</v>
      </c>
      <c r="AB28" s="89" t="s">
        <v>469</v>
      </c>
      <c r="AC28" s="232" t="s">
        <v>471</v>
      </c>
      <c r="AD28" s="232"/>
      <c r="AE28" s="230"/>
      <c r="AG28" s="234"/>
      <c r="AH28" s="235"/>
      <c r="AI28" s="235"/>
      <c r="AJ28" s="236"/>
      <c r="AL28" s="240"/>
      <c r="AM28" s="241"/>
      <c r="AN28" s="241"/>
      <c r="AO28" s="242"/>
    </row>
    <row r="29" spans="1:41" ht="16.5">
      <c r="A29" s="188" t="str">
        <f>_xlfn.XLOOKUP($V29,'Customer Details '!$A:$A,'Customer Details '!F:F," ",0)</f>
        <v>85  HEBER STREET</v>
      </c>
      <c r="B29" s="188" t="str">
        <f>_xlfn.XLOOKUP($V29,'Customer Details '!$A:$A,'Customer Details '!G:G," ",0)</f>
        <v>-</v>
      </c>
      <c r="C29" s="188" t="str">
        <f>_xlfn.XLOOKUP($V29,'Customer Details '!$A:$A,'Customer Details '!H:H," ",0)</f>
        <v>MOREE</v>
      </c>
      <c r="D29" s="188" t="str">
        <f>_xlfn.XLOOKUP($V29,'Customer Details '!$A:$A,'Customer Details '!I:I," ",0)</f>
        <v>NSW</v>
      </c>
      <c r="E29" s="188" t="str">
        <f>_xlfn.XLOOKUP($V29,'Customer Details '!$A:$A,'Customer Details '!J:J," ",0)</f>
        <v>2400</v>
      </c>
      <c r="F29" s="188" t="str">
        <f>_xlfn.XLOOKUP($V29,'Customer Details '!$A:$A,'Customer Details '!K:K," ",0)</f>
        <v>AUSTRALIA</v>
      </c>
      <c r="G29" s="188" t="str">
        <f>_xlfn.XLOOKUP($V29,'Customer Details '!$A:$A,'Customer Details '!L:L," ",0)</f>
        <v>-</v>
      </c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>
        <v>25</v>
      </c>
      <c r="U29" s="113" t="str">
        <f>'Get Data -NSW(North)'!A26</f>
        <v>NSW (North)</v>
      </c>
      <c r="V29" s="113">
        <f>'Get Data -NSW(North)'!E26</f>
        <v>29466</v>
      </c>
      <c r="W29" s="113" t="str">
        <f>'Get Data -NSW(North)'!F26</f>
        <v xml:space="preserve">HIP POCKET WORKWEAR &amp; SAFETY - MOREE </v>
      </c>
      <c r="X29" s="244" t="str">
        <f>_xlfn.XLOOKUP(Table3[[#This Row],[Cust Code]],'Customer Details '!A:A,'Customer Details '!M:M," ",0)</f>
        <v>G.C KING &amp; R.  T/AS HIP POCKET MOREE</v>
      </c>
      <c r="Y29" s="114">
        <f>_xlfn.XLOOKUP(Table3[[#This Row],[Cust Code]],' CVM'!C:C,' CVM'!H:H," ",0)</f>
        <v>46064</v>
      </c>
      <c r="Z29" s="115">
        <f>_xlfn.XLOOKUP(Table3[[#This Row],[Cust Code]],' CVM'!C:C,' CVM'!I:I," ",0)</f>
        <v>1</v>
      </c>
      <c r="AA29" s="115">
        <f>_xlfn.XLOOKUP(Table3[[#This Row],[Cust Code]],' CVM'!C:C,' CVM'!J:J," ",0)</f>
        <v>1</v>
      </c>
      <c r="AB29" s="89" t="s">
        <v>469</v>
      </c>
      <c r="AC29" s="232" t="s">
        <v>471</v>
      </c>
      <c r="AD29" s="232"/>
      <c r="AE29" s="230"/>
      <c r="AG29" s="234" t="s">
        <v>469</v>
      </c>
      <c r="AH29" s="235" t="s">
        <v>474</v>
      </c>
      <c r="AI29" s="235"/>
      <c r="AJ29" s="236"/>
      <c r="AL29" s="240"/>
      <c r="AM29" s="241"/>
      <c r="AN29" s="241"/>
      <c r="AO29" s="242"/>
    </row>
    <row r="30" spans="1:41" ht="16.5">
      <c r="A30" s="188">
        <f>_xlfn.XLOOKUP($V30,'Customer Details '!$A:$A,'Customer Details '!F:F," ",0)</f>
        <v>0</v>
      </c>
      <c r="B30" s="188">
        <f>_xlfn.XLOOKUP($V30,'Customer Details '!$A:$A,'Customer Details '!G:G," ",0)</f>
        <v>0</v>
      </c>
      <c r="C30" s="188">
        <f>_xlfn.XLOOKUP($V30,'Customer Details '!$A:$A,'Customer Details '!H:H," ",0)</f>
        <v>0</v>
      </c>
      <c r="D30" s="188">
        <f>_xlfn.XLOOKUP($V30,'Customer Details '!$A:$A,'Customer Details '!I:I," ",0)</f>
        <v>0</v>
      </c>
      <c r="E30" s="188">
        <f>_xlfn.XLOOKUP($V30,'Customer Details '!$A:$A,'Customer Details '!J:J," ",0)</f>
        <v>0</v>
      </c>
      <c r="F30" s="188">
        <f>_xlfn.XLOOKUP($V30,'Customer Details '!$A:$A,'Customer Details '!K:K," ",0)</f>
        <v>0</v>
      </c>
      <c r="G30" s="188">
        <f>_xlfn.XLOOKUP($V30,'Customer Details '!$A:$A,'Customer Details '!L:L," ",0)</f>
        <v>0</v>
      </c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>
        <v>26</v>
      </c>
      <c r="U30" s="113" t="str">
        <f>'Get Data -NSW(North)'!A27</f>
        <v>NSW (North)</v>
      </c>
      <c r="V30" s="113">
        <f>'Get Data -NSW(North)'!E27</f>
        <v>27364</v>
      </c>
      <c r="W30" s="113" t="str">
        <f>'Get Data -NSW(North)'!F27</f>
        <v xml:space="preserve">HIP POCKET WORKWEAR &amp; SAFETY ERINA </v>
      </c>
      <c r="X30" s="244" t="str">
        <f>_xlfn.XLOOKUP(Table3[[#This Row],[Cust Code]],'Customer Details '!A:A,'Customer Details '!M:M," ",0)</f>
        <v xml:space="preserve">HIP POCKET WORKWEAR &amp; SAFETY ERINA </v>
      </c>
      <c r="Y30" s="114">
        <f>_xlfn.XLOOKUP(Table3[[#This Row],[Cust Code]],' CVM'!C:C,' CVM'!H:H," ",0)</f>
        <v>46059</v>
      </c>
      <c r="Z30" s="115">
        <f>_xlfn.XLOOKUP(Table3[[#This Row],[Cust Code]],' CVM'!C:C,' CVM'!I:I," ",0)</f>
        <v>1</v>
      </c>
      <c r="AA30" s="115">
        <f>_xlfn.XLOOKUP(Table3[[#This Row],[Cust Code]],' CVM'!C:C,' CVM'!J:J," ",0)</f>
        <v>1</v>
      </c>
      <c r="AB30" s="89" t="s">
        <v>469</v>
      </c>
      <c r="AC30" s="232" t="s">
        <v>471</v>
      </c>
      <c r="AD30" s="232"/>
      <c r="AE30" s="230"/>
      <c r="AG30" s="234" t="s">
        <v>469</v>
      </c>
      <c r="AH30" s="235" t="s">
        <v>476</v>
      </c>
      <c r="AI30" s="235"/>
      <c r="AJ30" s="236"/>
      <c r="AL30" s="240"/>
      <c r="AM30" s="241"/>
      <c r="AN30" s="241"/>
      <c r="AO30" s="242"/>
    </row>
    <row r="31" spans="1:41" ht="16.5">
      <c r="A31" s="188" t="str">
        <f>_xlfn.XLOOKUP($V31,'Customer Details '!$A:$A,'Customer Details '!F:F," ",0)</f>
        <v>81 MAITLAND STREET</v>
      </c>
      <c r="B31" s="188" t="str">
        <f>_xlfn.XLOOKUP($V31,'Customer Details '!$A:$A,'Customer Details '!G:G," ",0)</f>
        <v>.</v>
      </c>
      <c r="C31" s="188" t="str">
        <f>_xlfn.XLOOKUP($V31,'Customer Details '!$A:$A,'Customer Details '!H:H," ",0)</f>
        <v>NARRABRI</v>
      </c>
      <c r="D31" s="188" t="str">
        <f>_xlfn.XLOOKUP($V31,'Customer Details '!$A:$A,'Customer Details '!I:I," ",0)</f>
        <v>NSW</v>
      </c>
      <c r="E31" s="188" t="str">
        <f>_xlfn.XLOOKUP($V31,'Customer Details '!$A:$A,'Customer Details '!J:J," ",0)</f>
        <v>2390</v>
      </c>
      <c r="F31" s="188" t="str">
        <f>_xlfn.XLOOKUP($V31,'Customer Details '!$A:$A,'Customer Details '!K:K," ",0)</f>
        <v>AUSTRALIA</v>
      </c>
      <c r="G31" s="188" t="str">
        <f>_xlfn.XLOOKUP($V31,'Customer Details '!$A:$A,'Customer Details '!L:L," ",0)</f>
        <v>-</v>
      </c>
      <c r="H31" s="189"/>
      <c r="I31" s="189"/>
      <c r="J31" s="189"/>
      <c r="K31" s="189"/>
      <c r="L31" s="189"/>
      <c r="M31" s="189"/>
      <c r="N31" s="189"/>
      <c r="O31" s="189"/>
      <c r="P31" s="189"/>
      <c r="Q31" s="189"/>
      <c r="R31" s="189"/>
      <c r="S31" s="189"/>
      <c r="T31">
        <v>27</v>
      </c>
      <c r="U31" s="113" t="str">
        <f>'Get Data -NSW(North)'!A28</f>
        <v>NSW (North)</v>
      </c>
      <c r="V31" s="113">
        <f>'Get Data -NSW(North)'!E28</f>
        <v>23967</v>
      </c>
      <c r="W31" s="113" t="str">
        <f>'Get Data -NSW(North)'!F28</f>
        <v>HIP POCKET WORKWEAR &amp; SAFETY NARRABRI</v>
      </c>
      <c r="X31" s="244" t="str">
        <f>_xlfn.XLOOKUP(Table3[[#This Row],[Cust Code]],'Customer Details '!A:A,'Customer Details '!M:M," ",0)</f>
        <v>HIP POCKET WORKWEAR &amp; SAFETY NARRABRI</v>
      </c>
      <c r="Y31" s="114">
        <f>_xlfn.XLOOKUP(Table3[[#This Row],[Cust Code]],' CVM'!C:C,' CVM'!H:H," ",0)</f>
        <v>46063</v>
      </c>
      <c r="Z31" s="115">
        <f>_xlfn.XLOOKUP(Table3[[#This Row],[Cust Code]],' CVM'!C:C,' CVM'!I:I," ",0)</f>
        <v>1</v>
      </c>
      <c r="AA31" s="115">
        <f>_xlfn.XLOOKUP(Table3[[#This Row],[Cust Code]],' CVM'!C:C,' CVM'!J:J," ",0)</f>
        <v>1</v>
      </c>
      <c r="AB31" s="89" t="s">
        <v>469</v>
      </c>
      <c r="AC31" s="232" t="s">
        <v>474</v>
      </c>
      <c r="AD31" s="267" t="s">
        <v>478</v>
      </c>
      <c r="AE31" s="230"/>
      <c r="AF31" t="s">
        <v>506</v>
      </c>
      <c r="AG31" s="234" t="s">
        <v>469</v>
      </c>
      <c r="AH31" s="235" t="s">
        <v>474</v>
      </c>
      <c r="AI31" s="235"/>
      <c r="AJ31" s="236"/>
      <c r="AL31" s="240"/>
      <c r="AM31" s="241"/>
      <c r="AN31" s="241"/>
      <c r="AO31" s="242"/>
    </row>
    <row r="32" spans="1:41">
      <c r="A32" s="188" t="str">
        <f>_xlfn.XLOOKUP($V32,'Customer Details '!$A:$A,'Customer Details '!F:F," ",0)</f>
        <v>Shop 3/36 William Street</v>
      </c>
      <c r="B32" s="188" t="str">
        <f>_xlfn.XLOOKUP($V32,'Customer Details '!$A:$A,'Customer Details '!G:G," ",0)</f>
        <v>.</v>
      </c>
      <c r="C32" s="188" t="str">
        <f>_xlfn.XLOOKUP($V32,'Customer Details '!$A:$A,'Customer Details '!H:H," ",0)</f>
        <v>RAYMOND TERRACE</v>
      </c>
      <c r="D32" s="188" t="str">
        <f>_xlfn.XLOOKUP($V32,'Customer Details '!$A:$A,'Customer Details '!I:I," ",0)</f>
        <v>NSW</v>
      </c>
      <c r="E32" s="188" t="str">
        <f>_xlfn.XLOOKUP($V32,'Customer Details '!$A:$A,'Customer Details '!J:J," ",0)</f>
        <v>2324</v>
      </c>
      <c r="F32" s="188" t="str">
        <f>_xlfn.XLOOKUP($V32,'Customer Details '!$A:$A,'Customer Details '!K:K," ",0)</f>
        <v>AUSTRALIA</v>
      </c>
      <c r="G32" s="188" t="str">
        <f>_xlfn.XLOOKUP($V32,'Customer Details '!$A:$A,'Customer Details '!L:L," ",0)</f>
        <v>Rose</v>
      </c>
      <c r="H32" s="189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189"/>
      <c r="T32">
        <v>28</v>
      </c>
      <c r="U32" s="113" t="str">
        <f>'Get Data -NSW(North)'!A29</f>
        <v>NSW (North)</v>
      </c>
      <c r="V32" s="113">
        <f>'Get Data -NSW(North)'!E29</f>
        <v>25735</v>
      </c>
      <c r="W32" s="113" t="str">
        <f>'Get Data -NSW(North)'!F29</f>
        <v>IVOCA PTY LTD  t/as Twin Rivers Workwear &amp; Uniform</v>
      </c>
      <c r="X32" s="244" t="str">
        <f>_xlfn.XLOOKUP(Table3[[#This Row],[Cust Code]],'Customer Details '!A:A,'Customer Details '!M:M," ",0)</f>
        <v>Twin Rivers Workwear &amp; Uniform</v>
      </c>
      <c r="Y32" s="114">
        <f>_xlfn.XLOOKUP(Table3[[#This Row],[Cust Code]],' CVM'!C:C,' CVM'!H:H," ",0)</f>
        <v>46057</v>
      </c>
      <c r="Z32" s="115">
        <f>_xlfn.XLOOKUP(Table3[[#This Row],[Cust Code]],' CVM'!C:C,' CVM'!I:I," ",0)</f>
        <v>1</v>
      </c>
      <c r="AA32" s="115">
        <f>_xlfn.XLOOKUP(Table3[[#This Row],[Cust Code]],' CVM'!C:C,' CVM'!J:J," ",0)</f>
        <v>1</v>
      </c>
      <c r="AB32" s="89" t="s">
        <v>469</v>
      </c>
      <c r="AC32" s="232" t="s">
        <v>471</v>
      </c>
      <c r="AD32" s="232"/>
      <c r="AE32" s="230"/>
      <c r="AG32" s="234"/>
      <c r="AH32" s="235"/>
      <c r="AI32" s="235"/>
      <c r="AJ32" s="236"/>
      <c r="AL32" s="240"/>
      <c r="AM32" s="241"/>
      <c r="AN32" s="241"/>
      <c r="AO32" s="242"/>
    </row>
    <row r="33" spans="1:41" ht="16.5">
      <c r="A33" s="188" t="str">
        <f>_xlfn.XLOOKUP($V33,'Customer Details '!$A:$A,'Customer Details '!F:F," ",0)</f>
        <v>36 SMITH STREET</v>
      </c>
      <c r="B33" s="188" t="str">
        <f>_xlfn.XLOOKUP($V33,'Customer Details '!$A:$A,'Customer Details '!G:G," ",0)</f>
        <v>-</v>
      </c>
      <c r="C33" s="188" t="str">
        <f>_xlfn.XLOOKUP($V33,'Customer Details '!$A:$A,'Customer Details '!H:H," ",0)</f>
        <v>KEMPSEY</v>
      </c>
      <c r="D33" s="188" t="str">
        <f>_xlfn.XLOOKUP($V33,'Customer Details '!$A:$A,'Customer Details '!I:I," ",0)</f>
        <v>NSW</v>
      </c>
      <c r="E33" s="188" t="str">
        <f>_xlfn.XLOOKUP($V33,'Customer Details '!$A:$A,'Customer Details '!J:J," ",0)</f>
        <v>2440</v>
      </c>
      <c r="F33" s="188" t="str">
        <f>_xlfn.XLOOKUP($V33,'Customer Details '!$A:$A,'Customer Details '!K:K," ",0)</f>
        <v>AUSTRALIA</v>
      </c>
      <c r="G33" s="188" t="str">
        <f>_xlfn.XLOOKUP($V33,'Customer Details '!$A:$A,'Customer Details '!L:L," ",0)</f>
        <v>Fay Eakin</v>
      </c>
      <c r="H33" s="189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>
        <v>29</v>
      </c>
      <c r="U33" s="113" t="str">
        <f>'Get Data -NSW(North)'!A30</f>
        <v>NSW (North)</v>
      </c>
      <c r="V33" s="113">
        <f>'Get Data -NSW(North)'!E30</f>
        <v>29153</v>
      </c>
      <c r="W33" s="113" t="str">
        <f>'Get Data -NSW(North)'!F30</f>
        <v>KEMPSEY CORPORATE AND WORKWEAR</v>
      </c>
      <c r="X33" s="244" t="str">
        <f>_xlfn.XLOOKUP(Table3[[#This Row],[Cust Code]],'Customer Details '!A:A,'Customer Details '!M:M," ",0)</f>
        <v>KEMPSEY CORPORATE AND WORKWEAR</v>
      </c>
      <c r="Y33" s="114">
        <f>_xlfn.XLOOKUP(Table3[[#This Row],[Cust Code]],' CVM'!C:C,' CVM'!H:H," ",0)</f>
        <v>46071</v>
      </c>
      <c r="Z33" s="115">
        <f>_xlfn.XLOOKUP(Table3[[#This Row],[Cust Code]],' CVM'!C:C,' CVM'!I:I," ",0)</f>
        <v>0</v>
      </c>
      <c r="AA33" s="115">
        <f>_xlfn.XLOOKUP(Table3[[#This Row],[Cust Code]],' CVM'!C:C,' CVM'!J:J," ",0)</f>
        <v>0</v>
      </c>
      <c r="AB33" s="89" t="s">
        <v>469</v>
      </c>
      <c r="AC33" s="232" t="s">
        <v>474</v>
      </c>
      <c r="AD33" s="232"/>
      <c r="AE33" s="230"/>
      <c r="AF33" t="s">
        <v>506</v>
      </c>
      <c r="AG33" s="234"/>
      <c r="AH33" s="235"/>
      <c r="AI33" s="235"/>
      <c r="AJ33" s="236"/>
      <c r="AL33" s="240"/>
      <c r="AM33" s="241"/>
      <c r="AN33" s="241"/>
      <c r="AO33" s="242"/>
    </row>
    <row r="34" spans="1:41" ht="23.25">
      <c r="A34" s="188" t="str">
        <f>_xlfn.XLOOKUP($V34,'Customer Details '!$A:$A,'Customer Details '!F:F," ",0)</f>
        <v>100 ERSKINE STREET</v>
      </c>
      <c r="B34" s="188" t="str">
        <f>_xlfn.XLOOKUP($V34,'Customer Details '!$A:$A,'Customer Details '!G:G," ",0)</f>
        <v>-</v>
      </c>
      <c r="C34" s="188" t="str">
        <f>_xlfn.XLOOKUP($V34,'Customer Details '!$A:$A,'Customer Details '!H:H," ",0)</f>
        <v>DUBBO</v>
      </c>
      <c r="D34" s="188" t="str">
        <f>_xlfn.XLOOKUP($V34,'Customer Details '!$A:$A,'Customer Details '!I:I," ",0)</f>
        <v>NSW</v>
      </c>
      <c r="E34" s="188" t="str">
        <f>_xlfn.XLOOKUP($V34,'Customer Details '!$A:$A,'Customer Details '!J:J," ",0)</f>
        <v>2830</v>
      </c>
      <c r="F34" s="188" t="str">
        <f>_xlfn.XLOOKUP($V34,'Customer Details '!$A:$A,'Customer Details '!K:K," ",0)</f>
        <v>AUSTRALIA</v>
      </c>
      <c r="G34" s="188" t="str">
        <f>_xlfn.XLOOKUP($V34,'Customer Details '!$A:$A,'Customer Details '!L:L," ",0)</f>
        <v>Jo Carlton  accounts</v>
      </c>
      <c r="H34" s="189"/>
      <c r="I34" s="189"/>
      <c r="J34" s="189"/>
      <c r="K34" s="189"/>
      <c r="L34" s="189"/>
      <c r="M34" s="189"/>
      <c r="N34" s="189"/>
      <c r="O34" s="189"/>
      <c r="P34" s="189"/>
      <c r="Q34" s="189"/>
      <c r="R34" s="189"/>
      <c r="S34" s="189"/>
      <c r="T34">
        <v>30</v>
      </c>
      <c r="U34" s="113" t="str">
        <f>'Get Data -NSW(North)'!A31</f>
        <v>NSW (North)</v>
      </c>
      <c r="V34" s="113">
        <f>'Get Data -NSW(North)'!E31</f>
        <v>29747</v>
      </c>
      <c r="W34" s="113" t="str">
        <f>'Get Data -NSW(North)'!F31</f>
        <v>LEHMANN CAPITAL PTY LTD t/as TWW DUBBO</v>
      </c>
      <c r="X34" s="244" t="str">
        <f>_xlfn.XLOOKUP(Table3[[#This Row],[Cust Code]],'Customer Details '!A:A,'Customer Details '!M:M," ",0)</f>
        <v>TOTALLY WORKWEAR DUBBO</v>
      </c>
      <c r="Y34" s="114">
        <f>_xlfn.XLOOKUP(Table3[[#This Row],[Cust Code]],' CVM'!C:C,' CVM'!H:H," ",0)</f>
        <v>46062</v>
      </c>
      <c r="Z34" s="115">
        <f>_xlfn.XLOOKUP(Table3[[#This Row],[Cust Code]],' CVM'!C:C,' CVM'!I:I," ",0)</f>
        <v>1</v>
      </c>
      <c r="AA34" s="115">
        <f>_xlfn.XLOOKUP(Table3[[#This Row],[Cust Code]],' CVM'!C:C,' CVM'!J:J," ",0)</f>
        <v>1</v>
      </c>
      <c r="AB34" s="89" t="s">
        <v>469</v>
      </c>
      <c r="AC34" s="232" t="s">
        <v>476</v>
      </c>
      <c r="AD34" s="232" t="s">
        <v>478</v>
      </c>
      <c r="AE34" s="230"/>
      <c r="AG34" s="234" t="s">
        <v>469</v>
      </c>
      <c r="AH34" s="235" t="s">
        <v>476</v>
      </c>
      <c r="AI34" s="235"/>
      <c r="AJ34" s="236"/>
      <c r="AL34" s="240"/>
      <c r="AM34" s="241"/>
      <c r="AN34" s="241"/>
      <c r="AO34" s="242"/>
    </row>
    <row r="35" spans="1:41" ht="16.5">
      <c r="A35" s="188" t="str">
        <f>_xlfn.XLOOKUP($V35,'Customer Details '!$A:$A,'Customer Details '!F:F," ",0)</f>
        <v>338 FROME STREET</v>
      </c>
      <c r="B35" s="188" t="str">
        <f>_xlfn.XLOOKUP($V35,'Customer Details '!$A:$A,'Customer Details '!G:G," ",0)</f>
        <v>.</v>
      </c>
      <c r="C35" s="188" t="str">
        <f>_xlfn.XLOOKUP($V35,'Customer Details '!$A:$A,'Customer Details '!H:H," ",0)</f>
        <v>MOREE</v>
      </c>
      <c r="D35" s="188" t="str">
        <f>_xlfn.XLOOKUP($V35,'Customer Details '!$A:$A,'Customer Details '!I:I," ",0)</f>
        <v>NSW</v>
      </c>
      <c r="E35" s="188" t="str">
        <f>_xlfn.XLOOKUP($V35,'Customer Details '!$A:$A,'Customer Details '!J:J," ",0)</f>
        <v>2400</v>
      </c>
      <c r="F35" s="188" t="str">
        <f>_xlfn.XLOOKUP($V35,'Customer Details '!$A:$A,'Customer Details '!K:K," ",0)</f>
        <v>AUSTRALIA</v>
      </c>
      <c r="G35" s="188" t="str">
        <f>_xlfn.XLOOKUP($V35,'Customer Details '!$A:$A,'Customer Details '!L:L," ",0)</f>
        <v>-</v>
      </c>
      <c r="H35" s="189"/>
      <c r="I35" s="189"/>
      <c r="J35" s="189"/>
      <c r="K35" s="189"/>
      <c r="L35" s="189"/>
      <c r="M35" s="189"/>
      <c r="N35" s="189"/>
      <c r="O35" s="189"/>
      <c r="P35" s="189"/>
      <c r="Q35" s="189"/>
      <c r="R35" s="189"/>
      <c r="S35" s="189"/>
      <c r="T35">
        <v>31</v>
      </c>
      <c r="U35" s="113" t="str">
        <f>'Get Data -NSW(North)'!A32</f>
        <v>NSW (North)</v>
      </c>
      <c r="V35" s="113">
        <f>'Get Data -NSW(North)'!E32</f>
        <v>29431</v>
      </c>
      <c r="W35" s="113" t="str">
        <f>'Get Data -NSW(North)'!F32</f>
        <v>LINUS GRAEME BOULIOPOULOS t/as LGB LOCKSMITH</v>
      </c>
      <c r="X35" s="244" t="str">
        <f>_xlfn.XLOOKUP(Table3[[#This Row],[Cust Code]],'Customer Details '!A:A,'Customer Details '!M:M," ",0)</f>
        <v>MOREE FIRE &amp; SECURITY</v>
      </c>
      <c r="Y35" s="114">
        <v>46064</v>
      </c>
      <c r="Z35" s="115">
        <f>_xlfn.XLOOKUP(Table3[[#This Row],[Cust Code]],' CVM'!C:C,' CVM'!I:I," ",0)</f>
        <v>1</v>
      </c>
      <c r="AA35" s="115">
        <f>_xlfn.XLOOKUP(Table3[[#This Row],[Cust Code]],' CVM'!C:C,' CVM'!J:J," ",0)</f>
        <v>1</v>
      </c>
      <c r="AB35" s="89" t="s">
        <v>469</v>
      </c>
      <c r="AC35" s="232" t="s">
        <v>474</v>
      </c>
      <c r="AD35" s="232"/>
      <c r="AE35" s="230"/>
      <c r="AG35" s="234" t="s">
        <v>469</v>
      </c>
      <c r="AH35" s="235" t="s">
        <v>474</v>
      </c>
      <c r="AI35" s="235"/>
      <c r="AJ35" s="236"/>
      <c r="AL35" s="240"/>
      <c r="AM35" s="241"/>
      <c r="AN35" s="241"/>
      <c r="AO35" s="242"/>
    </row>
    <row r="36" spans="1:41" ht="16.5">
      <c r="A36" s="188" t="str">
        <f>_xlfn.XLOOKUP($V36,'Customer Details '!$A:$A,'Customer Details '!F:F," ",0)</f>
        <v>68 DANDALOO STREET</v>
      </c>
      <c r="B36" s="188" t="str">
        <f>_xlfn.XLOOKUP($V36,'Customer Details '!$A:$A,'Customer Details '!G:G," ",0)</f>
        <v>.</v>
      </c>
      <c r="C36" s="188" t="str">
        <f>_xlfn.XLOOKUP($V36,'Customer Details '!$A:$A,'Customer Details '!H:H," ",0)</f>
        <v>NARROMINE</v>
      </c>
      <c r="D36" s="188" t="str">
        <f>_xlfn.XLOOKUP($V36,'Customer Details '!$A:$A,'Customer Details '!I:I," ",0)</f>
        <v>NSW</v>
      </c>
      <c r="E36" s="188" t="str">
        <f>_xlfn.XLOOKUP($V36,'Customer Details '!$A:$A,'Customer Details '!J:J," ",0)</f>
        <v>2821</v>
      </c>
      <c r="F36" s="188" t="str">
        <f>_xlfn.XLOOKUP($V36,'Customer Details '!$A:$A,'Customer Details '!K:K," ",0)</f>
        <v>AUSTRALIA</v>
      </c>
      <c r="G36" s="188" t="str">
        <f>_xlfn.XLOOKUP($V36,'Customer Details '!$A:$A,'Customer Details '!L:L," ",0)</f>
        <v>Deb  acc's</v>
      </c>
      <c r="H36" s="189"/>
      <c r="I36" s="189"/>
      <c r="J36" s="189"/>
      <c r="K36" s="189"/>
      <c r="L36" s="189"/>
      <c r="M36" s="189"/>
      <c r="N36" s="189"/>
      <c r="O36" s="189"/>
      <c r="P36" s="189"/>
      <c r="Q36" s="189"/>
      <c r="R36" s="189"/>
      <c r="S36" s="189"/>
      <c r="T36">
        <v>32</v>
      </c>
      <c r="U36" s="113" t="str">
        <f>'Get Data -NSW(North)'!A33</f>
        <v>NSW (North)</v>
      </c>
      <c r="V36" s="113">
        <f>'Get Data -NSW(North)'!E33</f>
        <v>29689</v>
      </c>
      <c r="W36" s="113" t="str">
        <f>'Get Data -NSW(North)'!F33</f>
        <v>MACQUARIE CLOTHING</v>
      </c>
      <c r="X36" s="244" t="str">
        <f>_xlfn.XLOOKUP(Table3[[#This Row],[Cust Code]],'Customer Details '!A:A,'Customer Details '!M:M," ",0)</f>
        <v>MACQUARIE CLOTHING</v>
      </c>
      <c r="Y36" s="114">
        <v>46062</v>
      </c>
      <c r="Z36" s="115">
        <f>_xlfn.XLOOKUP(Table3[[#This Row],[Cust Code]],' CVM'!C:C,' CVM'!I:I," ",0)</f>
        <v>1</v>
      </c>
      <c r="AA36" s="115">
        <f>_xlfn.XLOOKUP(Table3[[#This Row],[Cust Code]],' CVM'!C:C,' CVM'!J:J," ",0)</f>
        <v>1</v>
      </c>
      <c r="AB36" s="89" t="s">
        <v>469</v>
      </c>
      <c r="AC36" s="232" t="s">
        <v>474</v>
      </c>
      <c r="AD36" s="267" t="s">
        <v>478</v>
      </c>
      <c r="AE36" s="230"/>
      <c r="AF36" t="s">
        <v>506</v>
      </c>
      <c r="AG36" s="234" t="s">
        <v>469</v>
      </c>
      <c r="AH36" s="235" t="s">
        <v>474</v>
      </c>
      <c r="AI36" s="235"/>
      <c r="AJ36" s="236"/>
      <c r="AL36" s="240"/>
      <c r="AM36" s="241"/>
      <c r="AN36" s="241"/>
      <c r="AO36" s="242"/>
    </row>
    <row r="37" spans="1:41" ht="16.5">
      <c r="A37" s="188" t="str">
        <f>_xlfn.XLOOKUP($V37,'Customer Details '!$A:$A,'Customer Details '!F:F," ",0)</f>
        <v>126 MAITLAND STREET</v>
      </c>
      <c r="B37" s="188" t="str">
        <f>_xlfn.XLOOKUP($V37,'Customer Details '!$A:$A,'Customer Details '!G:G," ",0)</f>
        <v>.</v>
      </c>
      <c r="C37" s="188" t="str">
        <f>_xlfn.XLOOKUP($V37,'Customer Details '!$A:$A,'Customer Details '!H:H," ",0)</f>
        <v>NARRABRI</v>
      </c>
      <c r="D37" s="188" t="str">
        <f>_xlfn.XLOOKUP($V37,'Customer Details '!$A:$A,'Customer Details '!I:I," ",0)</f>
        <v>NSW</v>
      </c>
      <c r="E37" s="188" t="str">
        <f>_xlfn.XLOOKUP($V37,'Customer Details '!$A:$A,'Customer Details '!J:J," ",0)</f>
        <v>2390</v>
      </c>
      <c r="F37" s="188" t="str">
        <f>_xlfn.XLOOKUP($V37,'Customer Details '!$A:$A,'Customer Details '!K:K," ",0)</f>
        <v>AUSTRALIA</v>
      </c>
      <c r="G37" s="188" t="str">
        <f>_xlfn.XLOOKUP($V37,'Customer Details '!$A:$A,'Customer Details '!L:L," ",0)</f>
        <v>John McDonald</v>
      </c>
      <c r="H37" s="189"/>
      <c r="I37" s="189"/>
      <c r="J37" s="189"/>
      <c r="K37" s="189"/>
      <c r="L37" s="189"/>
      <c r="M37" s="189"/>
      <c r="N37" s="189"/>
      <c r="O37" s="189"/>
      <c r="P37" s="189"/>
      <c r="Q37" s="189"/>
      <c r="R37" s="189"/>
      <c r="S37" s="189"/>
      <c r="T37">
        <v>33</v>
      </c>
      <c r="U37" s="113" t="str">
        <f>'Get Data -NSW(North)'!A34</f>
        <v>NSW (North)</v>
      </c>
      <c r="V37" s="113">
        <f>'Get Data -NSW(North)'!E34</f>
        <v>29654</v>
      </c>
      <c r="W37" s="113" t="str">
        <f>'Get Data -NSW(North)'!F34</f>
        <v>MCDONALDS FASHIONS PTY LTD</v>
      </c>
      <c r="X37" s="244" t="str">
        <f>_xlfn.XLOOKUP(Table3[[#This Row],[Cust Code]],'Customer Details '!A:A,'Customer Details '!M:M," ",0)</f>
        <v>MCDONALDS FASHIONS PTY LTD</v>
      </c>
      <c r="Y37" s="114">
        <f>_xlfn.XLOOKUP(Table3[[#This Row],[Cust Code]],' CVM'!C:C,' CVM'!H:H," ",0)</f>
        <v>46063</v>
      </c>
      <c r="Z37" s="115">
        <f>_xlfn.XLOOKUP(Table3[[#This Row],[Cust Code]],' CVM'!C:C,' CVM'!I:I," ",0)</f>
        <v>1</v>
      </c>
      <c r="AA37" s="115">
        <f>_xlfn.XLOOKUP(Table3[[#This Row],[Cust Code]],' CVM'!C:C,' CVM'!J:J," ",0)</f>
        <v>1</v>
      </c>
      <c r="AB37" s="89" t="s">
        <v>469</v>
      </c>
      <c r="AC37" s="232"/>
      <c r="AD37" s="232"/>
      <c r="AE37" s="230"/>
      <c r="AG37" s="234"/>
      <c r="AH37" s="235" t="s">
        <v>476</v>
      </c>
      <c r="AI37" s="235"/>
      <c r="AJ37" s="236"/>
      <c r="AL37" s="240"/>
      <c r="AM37" s="241"/>
      <c r="AN37" s="241"/>
      <c r="AO37" s="242"/>
    </row>
    <row r="38" spans="1:41" ht="16.5">
      <c r="A38" s="188" t="str">
        <f>_xlfn.XLOOKUP($V38,'Customer Details '!$A:$A,'Customer Details '!F:F," ",0)</f>
        <v>26 NEWTON ST</v>
      </c>
      <c r="B38" s="188" t="str">
        <f>_xlfn.XLOOKUP($V38,'Customer Details '!$A:$A,'Customer Details '!G:G," ",0)</f>
        <v>-</v>
      </c>
      <c r="C38" s="188" t="str">
        <f>_xlfn.XLOOKUP($V38,'Customer Details '!$A:$A,'Customer Details '!H:H," ",0)</f>
        <v>BROADMEADOW</v>
      </c>
      <c r="D38" s="188" t="str">
        <f>_xlfn.XLOOKUP($V38,'Customer Details '!$A:$A,'Customer Details '!I:I," ",0)</f>
        <v>NSW</v>
      </c>
      <c r="E38" s="188" t="str">
        <f>_xlfn.XLOOKUP($V38,'Customer Details '!$A:$A,'Customer Details '!J:J," ",0)</f>
        <v>2292</v>
      </c>
      <c r="F38" s="188" t="str">
        <f>_xlfn.XLOOKUP($V38,'Customer Details '!$A:$A,'Customer Details '!K:K," ",0)</f>
        <v>AUSTRALIA</v>
      </c>
      <c r="G38" s="188" t="str">
        <f>_xlfn.XLOOKUP($V38,'Customer Details '!$A:$A,'Customer Details '!L:L," ",0)</f>
        <v>Lorie acc's</v>
      </c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>
        <v>34</v>
      </c>
      <c r="U38" s="113" t="str">
        <f>'Get Data -NSW(North)'!A35</f>
        <v>NSW (North)</v>
      </c>
      <c r="V38" s="113">
        <f>'Get Data -NSW(North)'!E35</f>
        <v>29788</v>
      </c>
      <c r="W38" s="113" t="str">
        <f>'Get Data -NSW(North)'!F35</f>
        <v>NEWCASTLE WORKWEAR SPECIALISTS</v>
      </c>
      <c r="X38" s="244" t="str">
        <f>_xlfn.XLOOKUP(Table3[[#This Row],[Cust Code]],'Customer Details '!A:A,'Customer Details '!M:M," ",0)</f>
        <v>NEWCASTLE WORKWEAR SPECIALISTS</v>
      </c>
      <c r="Y38" s="114" t="str">
        <f>_xlfn.XLOOKUP(Table3[[#This Row],[Cust Code]],' CVM'!C:C,' CVM'!H:H," ",0)</f>
        <v/>
      </c>
      <c r="Z38" s="115">
        <f>_xlfn.XLOOKUP(Table3[[#This Row],[Cust Code]],' CVM'!C:C,' CVM'!I:I," ",0)</f>
        <v>1</v>
      </c>
      <c r="AA38" s="115">
        <f>_xlfn.XLOOKUP(Table3[[#This Row],[Cust Code]],' CVM'!C:C,' CVM'!J:J," ",0)</f>
        <v>0</v>
      </c>
      <c r="AB38" s="89" t="s">
        <v>469</v>
      </c>
      <c r="AC38" s="232" t="s">
        <v>474</v>
      </c>
      <c r="AD38" s="232"/>
      <c r="AE38" s="230"/>
      <c r="AF38" t="s">
        <v>506</v>
      </c>
      <c r="AG38" s="234"/>
      <c r="AH38" s="235"/>
      <c r="AI38" s="235"/>
      <c r="AJ38" s="236"/>
      <c r="AL38" s="240"/>
      <c r="AM38" s="241"/>
      <c r="AN38" s="241"/>
      <c r="AO38" s="242"/>
    </row>
    <row r="39" spans="1:41">
      <c r="A39" s="188" t="str">
        <f>_xlfn.XLOOKUP($V39,'Customer Details '!$A:$A,'Customer Details '!F:F," ",0)</f>
        <v>126 MAITLAND STREET</v>
      </c>
      <c r="B39" s="188" t="str">
        <f>_xlfn.XLOOKUP($V39,'Customer Details '!$A:$A,'Customer Details '!G:G," ",0)</f>
        <v>-</v>
      </c>
      <c r="C39" s="188" t="str">
        <f>_xlfn.XLOOKUP($V39,'Customer Details '!$A:$A,'Customer Details '!H:H," ",0)</f>
        <v>NARRABRI</v>
      </c>
      <c r="D39" s="188" t="str">
        <f>_xlfn.XLOOKUP($V39,'Customer Details '!$A:$A,'Customer Details '!I:I," ",0)</f>
        <v>NSW</v>
      </c>
      <c r="E39" s="188" t="str">
        <f>_xlfn.XLOOKUP($V39,'Customer Details '!$A:$A,'Customer Details '!J:J," ",0)</f>
        <v>2390</v>
      </c>
      <c r="F39" s="188" t="str">
        <f>_xlfn.XLOOKUP($V39,'Customer Details '!$A:$A,'Customer Details '!K:K," ",0)</f>
        <v>AUSTRALIA</v>
      </c>
      <c r="G39" s="188" t="str">
        <f>_xlfn.XLOOKUP($V39,'Customer Details '!$A:$A,'Customer Details '!L:L," ",0)</f>
        <v>Elizabeth Shepherdso</v>
      </c>
      <c r="H39" s="189"/>
      <c r="I39" s="189"/>
      <c r="J39" s="189"/>
      <c r="K39" s="189"/>
      <c r="L39" s="189"/>
      <c r="M39" s="189"/>
      <c r="N39" s="189"/>
      <c r="O39" s="189"/>
      <c r="P39" s="189"/>
      <c r="Q39" s="189"/>
      <c r="R39" s="189"/>
      <c r="S39" s="189"/>
      <c r="T39">
        <v>35</v>
      </c>
      <c r="U39" s="113" t="str">
        <f>'Get Data -NSW(North)'!A36</f>
        <v>NSW (North)</v>
      </c>
      <c r="V39" s="113">
        <f>'Get Data -NSW(North)'!E36</f>
        <v>27836</v>
      </c>
      <c r="W39" s="113" t="str">
        <f>'Get Data -NSW(North)'!F36</f>
        <v>NOELCO PTY LTD t/as MCDONALDS FASHIONS</v>
      </c>
      <c r="X39" s="244" t="str">
        <f>_xlfn.XLOOKUP(Table3[[#This Row],[Cust Code]],'Customer Details '!A:A,'Customer Details '!M:M," ",0)</f>
        <v>MCDONALDS FASHIONS</v>
      </c>
      <c r="Y39" s="114" t="str">
        <f>_xlfn.XLOOKUP(Table3[[#This Row],[Cust Code]],' CVM'!C:C,' CVM'!H:H," ",0)</f>
        <v/>
      </c>
      <c r="Z39" s="115">
        <f>_xlfn.XLOOKUP(Table3[[#This Row],[Cust Code]],' CVM'!C:C,' CVM'!I:I," ",0)</f>
        <v>0</v>
      </c>
      <c r="AA39" s="115">
        <f>_xlfn.XLOOKUP(Table3[[#This Row],[Cust Code]],' CVM'!C:C,' CVM'!J:J," ",0)</f>
        <v>0</v>
      </c>
      <c r="AB39" s="89" t="s">
        <v>469</v>
      </c>
      <c r="AC39" s="232" t="s">
        <v>471</v>
      </c>
      <c r="AD39" s="232"/>
      <c r="AE39" s="230"/>
      <c r="AG39" s="234" t="s">
        <v>469</v>
      </c>
      <c r="AH39" s="235"/>
      <c r="AI39" s="235"/>
      <c r="AJ39" s="236"/>
      <c r="AL39" s="240"/>
      <c r="AM39" s="241"/>
      <c r="AN39" s="241"/>
      <c r="AO39" s="242"/>
    </row>
    <row r="40" spans="1:41" ht="23.25">
      <c r="A40" s="188" t="str">
        <f>_xlfn.XLOOKUP($V40,'Customer Details '!$A:$A,'Customer Details '!F:F," ",0)</f>
        <v>174 PINE AVENUE,</v>
      </c>
      <c r="B40" s="188" t="str">
        <f>_xlfn.XLOOKUP($V40,'Customer Details '!$A:$A,'Customer Details '!G:G," ",0)</f>
        <v>-</v>
      </c>
      <c r="C40" s="188" t="str">
        <f>_xlfn.XLOOKUP($V40,'Customer Details '!$A:$A,'Customer Details '!H:H," ",0)</f>
        <v>TUNCURRY</v>
      </c>
      <c r="D40" s="188" t="str">
        <f>_xlfn.XLOOKUP($V40,'Customer Details '!$A:$A,'Customer Details '!I:I," ",0)</f>
        <v>NSW</v>
      </c>
      <c r="E40" s="188" t="str">
        <f>_xlfn.XLOOKUP($V40,'Customer Details '!$A:$A,'Customer Details '!J:J," ",0)</f>
        <v>2428</v>
      </c>
      <c r="F40" s="188" t="str">
        <f>_xlfn.XLOOKUP($V40,'Customer Details '!$A:$A,'Customer Details '!K:K," ",0)</f>
        <v>AUSTRALIA</v>
      </c>
      <c r="G40" s="188" t="str">
        <f>_xlfn.XLOOKUP($V40,'Customer Details '!$A:$A,'Customer Details '!L:L," ",0)</f>
        <v>Alison Penna acc's</v>
      </c>
      <c r="H40" s="189"/>
      <c r="I40" s="189"/>
      <c r="J40" s="189"/>
      <c r="K40" s="189"/>
      <c r="L40" s="189"/>
      <c r="M40" s="189"/>
      <c r="N40" s="189"/>
      <c r="O40" s="189"/>
      <c r="P40" s="189"/>
      <c r="Q40" s="189"/>
      <c r="R40" s="189"/>
      <c r="S40" s="189"/>
      <c r="T40">
        <v>36</v>
      </c>
      <c r="U40" s="113" t="str">
        <f>'Get Data -NSW(North)'!A37</f>
        <v>NSW (North)</v>
      </c>
      <c r="V40" s="113">
        <f>'Get Data -NSW(North)'!E37</f>
        <v>26471</v>
      </c>
      <c r="W40" s="113" t="str">
        <f>'Get Data -NSW(North)'!F37</f>
        <v>PINNACLE WORKWEAR AND UNIFORMS PTY LTD</v>
      </c>
      <c r="X40" s="244" t="str">
        <f>_xlfn.XLOOKUP(Table3[[#This Row],[Cust Code]],'Customer Details '!A:A,'Customer Details '!M:M," ",0)</f>
        <v>WORKLOCKER FORSTER-TUNCURRY</v>
      </c>
      <c r="Y40" s="114">
        <f>_xlfn.XLOOKUP(Table3[[#This Row],[Cust Code]],' CVM'!C:C,' CVM'!H:H," ",0)</f>
        <v>46071</v>
      </c>
      <c r="Z40" s="115">
        <f>_xlfn.XLOOKUP(Table3[[#This Row],[Cust Code]],' CVM'!C:C,' CVM'!I:I," ",0)</f>
        <v>0</v>
      </c>
      <c r="AA40" s="115">
        <f>_xlfn.XLOOKUP(Table3[[#This Row],[Cust Code]],' CVM'!C:C,' CVM'!J:J," ",0)</f>
        <v>0</v>
      </c>
      <c r="AB40" s="89" t="s">
        <v>469</v>
      </c>
      <c r="AC40" s="232" t="s">
        <v>476</v>
      </c>
      <c r="AD40" s="232"/>
      <c r="AE40" s="230"/>
      <c r="AF40" t="s">
        <v>507</v>
      </c>
      <c r="AG40" s="234"/>
      <c r="AH40" s="235"/>
      <c r="AI40" s="235"/>
      <c r="AJ40" s="236"/>
      <c r="AL40" s="240"/>
      <c r="AM40" s="241"/>
      <c r="AN40" s="241"/>
      <c r="AO40" s="242"/>
    </row>
    <row r="41" spans="1:41" ht="23.25">
      <c r="A41" s="188" t="str">
        <f>_xlfn.XLOOKUP($V41,'Customer Details '!$A:$A,'Customer Details '!F:F," ",0)</f>
        <v>352 PEEL STREET</v>
      </c>
      <c r="B41" s="188" t="str">
        <f>_xlfn.XLOOKUP($V41,'Customer Details '!$A:$A,'Customer Details '!G:G," ",0)</f>
        <v>.</v>
      </c>
      <c r="C41" s="188" t="str">
        <f>_xlfn.XLOOKUP($V41,'Customer Details '!$A:$A,'Customer Details '!H:H," ",0)</f>
        <v>TAMWORTH</v>
      </c>
      <c r="D41" s="188" t="str">
        <f>_xlfn.XLOOKUP($V41,'Customer Details '!$A:$A,'Customer Details '!I:I," ",0)</f>
        <v>NSW</v>
      </c>
      <c r="E41" s="188" t="str">
        <f>_xlfn.XLOOKUP($V41,'Customer Details '!$A:$A,'Customer Details '!J:J," ",0)</f>
        <v>2340</v>
      </c>
      <c r="F41" s="188" t="str">
        <f>_xlfn.XLOOKUP($V41,'Customer Details '!$A:$A,'Customer Details '!K:K," ",0)</f>
        <v>AUSTRALIA</v>
      </c>
      <c r="G41" s="188" t="str">
        <f>_xlfn.XLOOKUP($V41,'Customer Details '!$A:$A,'Customer Details '!L:L," ",0)</f>
        <v>Hazel Purseglove</v>
      </c>
      <c r="H41" s="189"/>
      <c r="I41" s="189"/>
      <c r="J41" s="189"/>
      <c r="K41" s="189"/>
      <c r="L41" s="189"/>
      <c r="M41" s="189"/>
      <c r="N41" s="189"/>
      <c r="O41" s="189"/>
      <c r="P41" s="189"/>
      <c r="Q41" s="189"/>
      <c r="R41" s="189"/>
      <c r="S41" s="189"/>
      <c r="T41">
        <v>37</v>
      </c>
      <c r="U41" s="113" t="str">
        <f>'Get Data -NSW(North)'!A38</f>
        <v>NSW (North)</v>
      </c>
      <c r="V41" s="113">
        <f>'Get Data -NSW(North)'!E38</f>
        <v>29411</v>
      </c>
      <c r="W41" s="113" t="str">
        <f>'Get Data -NSW(North)'!F38</f>
        <v>PURSEGLOVES CLOTHING</v>
      </c>
      <c r="X41" s="244" t="str">
        <f>_xlfn.XLOOKUP(Table3[[#This Row],[Cust Code]],'Customer Details '!A:A,'Customer Details '!M:M," ",0)</f>
        <v>PURSEGLOVES CLOTHING</v>
      </c>
      <c r="Y41" s="114">
        <v>46066</v>
      </c>
      <c r="Z41" s="115">
        <f>_xlfn.XLOOKUP(Table3[[#This Row],[Cust Code]],' CVM'!C:C,' CVM'!I:I," ",0)</f>
        <v>1</v>
      </c>
      <c r="AA41" s="115">
        <f>_xlfn.XLOOKUP(Table3[[#This Row],[Cust Code]],' CVM'!C:C,' CVM'!J:J," ",0)</f>
        <v>1</v>
      </c>
      <c r="AB41" s="89" t="s">
        <v>469</v>
      </c>
      <c r="AC41" s="232" t="s">
        <v>474</v>
      </c>
      <c r="AD41" s="232" t="s">
        <v>478</v>
      </c>
      <c r="AE41" s="230"/>
      <c r="AF41" t="s">
        <v>506</v>
      </c>
      <c r="AG41" s="234" t="s">
        <v>469</v>
      </c>
      <c r="AH41" s="235" t="s">
        <v>474</v>
      </c>
      <c r="AI41" s="235"/>
      <c r="AJ41" s="236"/>
      <c r="AL41" s="240"/>
      <c r="AM41" s="241"/>
      <c r="AN41" s="241"/>
      <c r="AO41" s="242"/>
    </row>
    <row r="42" spans="1:41" ht="23.25">
      <c r="A42" s="188" t="str">
        <f>_xlfn.XLOOKUP($V42,'Customer Details '!$A:$A,'Customer Details '!F:F," ",0)</f>
        <v>207 CONNADILLY STREET</v>
      </c>
      <c r="B42" s="188" t="str">
        <f>_xlfn.XLOOKUP($V42,'Customer Details '!$A:$A,'Customer Details '!G:G," ",0)</f>
        <v xml:space="preserve"> </v>
      </c>
      <c r="C42" s="188" t="str">
        <f>_xlfn.XLOOKUP($V42,'Customer Details '!$A:$A,'Customer Details '!H:H," ",0)</f>
        <v>GUNNEDAH</v>
      </c>
      <c r="D42" s="188" t="str">
        <f>_xlfn.XLOOKUP($V42,'Customer Details '!$A:$A,'Customer Details '!I:I," ",0)</f>
        <v>NSW</v>
      </c>
      <c r="E42" s="188" t="str">
        <f>_xlfn.XLOOKUP($V42,'Customer Details '!$A:$A,'Customer Details '!J:J," ",0)</f>
        <v>2380</v>
      </c>
      <c r="F42" s="188" t="str">
        <f>_xlfn.XLOOKUP($V42,'Customer Details '!$A:$A,'Customer Details '!K:K," ",0)</f>
        <v>AUSTRALIA</v>
      </c>
      <c r="G42" s="188" t="str">
        <f>_xlfn.XLOOKUP($V42,'Customer Details '!$A:$A,'Customer Details '!L:L," ",0)</f>
        <v>Hazel Purseglove</v>
      </c>
      <c r="H42" s="189"/>
      <c r="I42" s="189"/>
      <c r="J42" s="189"/>
      <c r="K42" s="189"/>
      <c r="L42" s="189"/>
      <c r="M42" s="189"/>
      <c r="N42" s="189"/>
      <c r="O42" s="189"/>
      <c r="P42" s="189"/>
      <c r="Q42" s="189"/>
      <c r="R42" s="189"/>
      <c r="S42" s="189"/>
      <c r="T42">
        <v>38</v>
      </c>
      <c r="U42" s="113" t="str">
        <f>'Get Data -NSW(North)'!A39</f>
        <v>NSW (North)</v>
      </c>
      <c r="V42" s="113">
        <f>'Get Data -NSW(North)'!E39</f>
        <v>29347</v>
      </c>
      <c r="W42" s="113" t="str">
        <f>'Get Data -NSW(North)'!F39</f>
        <v>PURSEGLOVES CLOTHING GUNNEDAH</v>
      </c>
      <c r="X42" s="244" t="str">
        <f>_xlfn.XLOOKUP(Table3[[#This Row],[Cust Code]],'Customer Details '!A:A,'Customer Details '!M:M," ",0)</f>
        <v>PURSEGLOVES CLOTHING GUNNEDAH</v>
      </c>
      <c r="Y42" s="114">
        <f>_xlfn.XLOOKUP(Table3[[#This Row],[Cust Code]],' CVM'!C:C,' CVM'!H:H," ",0)</f>
        <v>46063</v>
      </c>
      <c r="Z42" s="115">
        <f>_xlfn.XLOOKUP(Table3[[#This Row],[Cust Code]],' CVM'!C:C,' CVM'!I:I," ",0)</f>
        <v>1</v>
      </c>
      <c r="AA42" s="115">
        <f>_xlfn.XLOOKUP(Table3[[#This Row],[Cust Code]],' CVM'!C:C,' CVM'!J:J," ",0)</f>
        <v>1</v>
      </c>
      <c r="AB42" s="89"/>
      <c r="AC42" s="232" t="s">
        <v>474</v>
      </c>
      <c r="AD42" s="232" t="s">
        <v>478</v>
      </c>
      <c r="AE42" s="230"/>
      <c r="AF42" t="s">
        <v>506</v>
      </c>
      <c r="AG42" s="234" t="s">
        <v>469</v>
      </c>
      <c r="AH42" s="235" t="s">
        <v>474</v>
      </c>
      <c r="AI42" s="235"/>
      <c r="AJ42" s="236"/>
      <c r="AL42" s="240"/>
      <c r="AM42" s="241"/>
      <c r="AN42" s="241"/>
      <c r="AO42" s="242"/>
    </row>
    <row r="43" spans="1:41" ht="16.5">
      <c r="A43" s="188" t="str">
        <f>_xlfn.XLOOKUP($V43,'Customer Details '!$A:$A,'Customer Details '!F:F," ",0)</f>
        <v>UNIT 3 / 84-90 INDUSTRIAL DRIVE</v>
      </c>
      <c r="B43" s="188" t="str">
        <f>_xlfn.XLOOKUP($V43,'Customer Details '!$A:$A,'Customer Details '!G:G," ",0)</f>
        <v>.</v>
      </c>
      <c r="C43" s="188" t="str">
        <f>_xlfn.XLOOKUP($V43,'Customer Details '!$A:$A,'Customer Details '!H:H," ",0)</f>
        <v>COFFS HARBOUR</v>
      </c>
      <c r="D43" s="188" t="str">
        <f>_xlfn.XLOOKUP($V43,'Customer Details '!$A:$A,'Customer Details '!I:I," ",0)</f>
        <v>NSW</v>
      </c>
      <c r="E43" s="188" t="str">
        <f>_xlfn.XLOOKUP($V43,'Customer Details '!$A:$A,'Customer Details '!J:J," ",0)</f>
        <v>2450</v>
      </c>
      <c r="F43" s="188" t="str">
        <f>_xlfn.XLOOKUP($V43,'Customer Details '!$A:$A,'Customer Details '!K:K," ",0)</f>
        <v>AUSTRALIA</v>
      </c>
      <c r="G43" s="188" t="str">
        <f>_xlfn.XLOOKUP($V43,'Customer Details '!$A:$A,'Customer Details '!L:L," ",0)</f>
        <v>Peter Rann</v>
      </c>
      <c r="H43" s="189"/>
      <c r="I43" s="189"/>
      <c r="J43" s="189"/>
      <c r="K43" s="189"/>
      <c r="L43" s="189"/>
      <c r="M43" s="189"/>
      <c r="N43" s="189"/>
      <c r="O43" s="189"/>
      <c r="P43" s="189"/>
      <c r="Q43" s="189"/>
      <c r="R43" s="189"/>
      <c r="S43" s="189"/>
      <c r="T43">
        <v>39</v>
      </c>
      <c r="U43" s="113" t="str">
        <f>'Get Data -NSW(North)'!A40</f>
        <v>NSW (North)</v>
      </c>
      <c r="V43" s="113">
        <f>'Get Data -NSW(North)'!E40</f>
        <v>27756</v>
      </c>
      <c r="W43" s="113" t="str">
        <f>'Get Data -NSW(North)'!F40</f>
        <v>RANNALA PTY LTD  t/as  COFFS WORKWEAR &amp; SAFETY</v>
      </c>
      <c r="X43" s="244" t="str">
        <f>_xlfn.XLOOKUP(Table3[[#This Row],[Cust Code]],'Customer Details '!A:A,'Customer Details '!M:M," ",0)</f>
        <v>COFFS WORKWEAR &amp; SAFETY</v>
      </c>
      <c r="Y43" s="114" t="str">
        <f>_xlfn.XLOOKUP(Table3[[#This Row],[Cust Code]],' CVM'!C:C,' CVM'!H:H," ",0)</f>
        <v/>
      </c>
      <c r="Z43" s="115">
        <f>_xlfn.XLOOKUP(Table3[[#This Row],[Cust Code]],' CVM'!C:C,' CVM'!I:I," ",0)</f>
        <v>0</v>
      </c>
      <c r="AA43" s="115">
        <f>_xlfn.XLOOKUP(Table3[[#This Row],[Cust Code]],' CVM'!C:C,' CVM'!J:J," ",0)</f>
        <v>0</v>
      </c>
      <c r="AB43" s="89" t="s">
        <v>469</v>
      </c>
      <c r="AC43" s="232" t="s">
        <v>471</v>
      </c>
      <c r="AD43" s="267"/>
      <c r="AE43" s="230"/>
      <c r="AG43" s="234"/>
      <c r="AH43" s="235"/>
      <c r="AI43" s="235"/>
      <c r="AJ43" s="236"/>
      <c r="AL43" s="240"/>
      <c r="AM43" s="241"/>
      <c r="AN43" s="241"/>
      <c r="AO43" s="242"/>
    </row>
    <row r="44" spans="1:41" ht="16.5">
      <c r="A44" s="188" t="str">
        <f>_xlfn.XLOOKUP($V44,'Customer Details '!$A:$A,'Customer Details '!F:F," ",0)</f>
        <v>6/53 LAKE HAVEN DRIVE</v>
      </c>
      <c r="B44" s="188" t="str">
        <f>_xlfn.XLOOKUP($V44,'Customer Details '!$A:$A,'Customer Details '!G:G," ",0)</f>
        <v xml:space="preserve"> </v>
      </c>
      <c r="C44" s="188" t="str">
        <f>_xlfn.XLOOKUP($V44,'Customer Details '!$A:$A,'Customer Details '!H:H," ",0)</f>
        <v>LAKE HAVEN</v>
      </c>
      <c r="D44" s="188" t="str">
        <f>_xlfn.XLOOKUP($V44,'Customer Details '!$A:$A,'Customer Details '!I:I," ",0)</f>
        <v>NSW</v>
      </c>
      <c r="E44" s="188" t="str">
        <f>_xlfn.XLOOKUP($V44,'Customer Details '!$A:$A,'Customer Details '!J:J," ",0)</f>
        <v>2263</v>
      </c>
      <c r="F44" s="188" t="str">
        <f>_xlfn.XLOOKUP($V44,'Customer Details '!$A:$A,'Customer Details '!K:K," ",0)</f>
        <v>AUSTRALIA</v>
      </c>
      <c r="G44" s="188" t="str">
        <f>_xlfn.XLOOKUP($V44,'Customer Details '!$A:$A,'Customer Details '!L:L," ",0)</f>
        <v>-</v>
      </c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>
        <v>40</v>
      </c>
      <c r="U44" s="113" t="str">
        <f>'Get Data -NSW(North)'!A41</f>
        <v>NSW (North)</v>
      </c>
      <c r="V44" s="113">
        <f>'Get Data -NSW(North)'!E41</f>
        <v>25909</v>
      </c>
      <c r="W44" s="113" t="str">
        <f>'Get Data -NSW(North)'!F41</f>
        <v>RSEA  - LAKE HAVEN</v>
      </c>
      <c r="X44" s="244" t="str">
        <f>_xlfn.XLOOKUP(Table3[[#This Row],[Cust Code]],'Customer Details '!A:A,'Customer Details '!M:M," ",0)</f>
        <v>RSEA  WETHERILL PARK</v>
      </c>
      <c r="Y44" s="114" t="str">
        <f>_xlfn.XLOOKUP(Table3[[#This Row],[Cust Code]],' CVM'!C:C,' CVM'!H:H," ",0)</f>
        <v/>
      </c>
      <c r="Z44" s="115">
        <f>_xlfn.XLOOKUP(Table3[[#This Row],[Cust Code]],' CVM'!C:C,' CVM'!I:I," ",0)</f>
        <v>0</v>
      </c>
      <c r="AA44" s="115">
        <f>_xlfn.XLOOKUP(Table3[[#This Row],[Cust Code]],' CVM'!C:C,' CVM'!J:J," ",0)</f>
        <v>0</v>
      </c>
      <c r="AB44" s="89" t="s">
        <v>469</v>
      </c>
      <c r="AC44" s="232"/>
      <c r="AD44" s="232"/>
      <c r="AE44" s="230"/>
      <c r="AG44" s="234"/>
      <c r="AH44" s="235"/>
      <c r="AI44" s="235"/>
      <c r="AJ44" s="236"/>
      <c r="AL44" s="240"/>
      <c r="AM44" s="241"/>
      <c r="AN44" s="241"/>
      <c r="AO44" s="242"/>
    </row>
    <row r="45" spans="1:41" ht="16.5">
      <c r="A45" s="188" t="str">
        <f>_xlfn.XLOOKUP($V45,'Customer Details '!$A:$A,'Customer Details '!F:F," ",0)</f>
        <v>4 HAWTHORN STREET</v>
      </c>
      <c r="B45" s="188" t="str">
        <f>_xlfn.XLOOKUP($V45,'Customer Details '!$A:$A,'Customer Details '!G:G," ",0)</f>
        <v xml:space="preserve"> </v>
      </c>
      <c r="C45" s="188" t="str">
        <f>_xlfn.XLOOKUP($V45,'Customer Details '!$A:$A,'Customer Details '!H:H," ",0)</f>
        <v>DUBBO</v>
      </c>
      <c r="D45" s="188" t="str">
        <f>_xlfn.XLOOKUP($V45,'Customer Details '!$A:$A,'Customer Details '!I:I," ",0)</f>
        <v>NSW</v>
      </c>
      <c r="E45" s="188" t="str">
        <f>_xlfn.XLOOKUP($V45,'Customer Details '!$A:$A,'Customer Details '!J:J," ",0)</f>
        <v>2830</v>
      </c>
      <c r="F45" s="188" t="str">
        <f>_xlfn.XLOOKUP($V45,'Customer Details '!$A:$A,'Customer Details '!K:K," ",0)</f>
        <v>AUSTRALIA</v>
      </c>
      <c r="G45" s="188" t="str">
        <f>_xlfn.XLOOKUP($V45,'Customer Details '!$A:$A,'Customer Details '!L:L," ",0)</f>
        <v>-</v>
      </c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>
        <v>41</v>
      </c>
      <c r="U45" s="113" t="str">
        <f>'Get Data -NSW(North)'!A42</f>
        <v>NSW (North)</v>
      </c>
      <c r="V45" s="113">
        <f>'Get Data -NSW(North)'!E42</f>
        <v>25736</v>
      </c>
      <c r="W45" s="113" t="str">
        <f>'Get Data -NSW(North)'!F42</f>
        <v>RSEA - DUBBO</v>
      </c>
      <c r="X45" s="244" t="str">
        <f>_xlfn.XLOOKUP(Table3[[#This Row],[Cust Code]],'Customer Details '!A:A,'Customer Details '!M:M," ",0)</f>
        <v>RSEA -  DUBBO</v>
      </c>
      <c r="Y45" s="114" t="str">
        <f>_xlfn.XLOOKUP(Table3[[#This Row],[Cust Code]],' CVM'!C:C,' CVM'!H:H," ",0)</f>
        <v/>
      </c>
      <c r="Z45" s="115">
        <f>_xlfn.XLOOKUP(Table3[[#This Row],[Cust Code]],' CVM'!C:C,' CVM'!I:I," ",0)</f>
        <v>0</v>
      </c>
      <c r="AA45" s="115">
        <f>_xlfn.XLOOKUP(Table3[[#This Row],[Cust Code]],' CVM'!C:C,' CVM'!J:J," ",0)</f>
        <v>0</v>
      </c>
      <c r="AB45" s="89" t="s">
        <v>469</v>
      </c>
      <c r="AC45" s="232"/>
      <c r="AD45" s="232"/>
      <c r="AE45" s="230"/>
      <c r="AG45" s="234"/>
      <c r="AH45" s="235"/>
      <c r="AI45" s="235"/>
      <c r="AJ45" s="236"/>
      <c r="AL45" s="240"/>
      <c r="AM45" s="241"/>
      <c r="AN45" s="241"/>
      <c r="AO45" s="242"/>
    </row>
    <row r="46" spans="1:41" ht="16.5">
      <c r="A46" s="188" t="str">
        <f>_xlfn.XLOOKUP($V46,'Customer Details '!$A:$A,'Customer Details '!F:F," ",0)</f>
        <v>UNIT 2 - 3</v>
      </c>
      <c r="B46" s="188" t="str">
        <f>_xlfn.XLOOKUP($V46,'Customer Details '!$A:$A,'Customer Details '!G:G," ",0)</f>
        <v>2179 PACIFIC HWY</v>
      </c>
      <c r="C46" s="188" t="str">
        <f>_xlfn.XLOOKUP($V46,'Customer Details '!$A:$A,'Customer Details '!H:H," ",0)</f>
        <v>HEATHERBRAE</v>
      </c>
      <c r="D46" s="188" t="str">
        <f>_xlfn.XLOOKUP($V46,'Customer Details '!$A:$A,'Customer Details '!I:I," ",0)</f>
        <v>NSW</v>
      </c>
      <c r="E46" s="188" t="str">
        <f>_xlfn.XLOOKUP($V46,'Customer Details '!$A:$A,'Customer Details '!J:J," ",0)</f>
        <v>2324</v>
      </c>
      <c r="F46" s="188" t="str">
        <f>_xlfn.XLOOKUP($V46,'Customer Details '!$A:$A,'Customer Details '!K:K," ",0)</f>
        <v>AUSTRALIA</v>
      </c>
      <c r="G46" s="188" t="str">
        <f>_xlfn.XLOOKUP($V46,'Customer Details '!$A:$A,'Customer Details '!L:L," ",0)</f>
        <v>-</v>
      </c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>
        <v>42</v>
      </c>
      <c r="U46" s="113" t="str">
        <f>'Get Data -NSW(North)'!A43</f>
        <v>NSW (North)</v>
      </c>
      <c r="V46" s="113">
        <f>'Get Data -NSW(North)'!E43</f>
        <v>29991</v>
      </c>
      <c r="W46" s="113" t="str">
        <f>'Get Data -NSW(North)'!F43</f>
        <v>RSEA - HEATHERBRAE</v>
      </c>
      <c r="X46" s="244" t="str">
        <f>_xlfn.XLOOKUP(Table3[[#This Row],[Cust Code]],'Customer Details '!A:A,'Customer Details '!M:M," ",0)</f>
        <v>RSEA - HEATHERBRAE</v>
      </c>
      <c r="Y46" s="114" t="str">
        <f>_xlfn.XLOOKUP(Table3[[#This Row],[Cust Code]],' CVM'!C:C,' CVM'!H:H," ",0)</f>
        <v/>
      </c>
      <c r="Z46" s="115">
        <f>_xlfn.XLOOKUP(Table3[[#This Row],[Cust Code]],' CVM'!C:C,' CVM'!I:I," ",0)</f>
        <v>0</v>
      </c>
      <c r="AA46" s="115">
        <f>_xlfn.XLOOKUP(Table3[[#This Row],[Cust Code]],' CVM'!C:C,' CVM'!J:J," ",0)</f>
        <v>0</v>
      </c>
      <c r="AB46" s="89" t="s">
        <v>469</v>
      </c>
      <c r="AC46" s="232"/>
      <c r="AD46" s="232"/>
      <c r="AE46" s="230"/>
      <c r="AG46" s="234"/>
      <c r="AH46" s="235"/>
      <c r="AI46" s="235"/>
      <c r="AJ46" s="236"/>
      <c r="AL46" s="240"/>
      <c r="AM46" s="241"/>
      <c r="AN46" s="241"/>
      <c r="AO46" s="242"/>
    </row>
    <row r="47" spans="1:41">
      <c r="A47" s="188" t="str">
        <f>_xlfn.XLOOKUP($V47,'Customer Details '!$A:$A,'Customer Details '!F:F," ",0)</f>
        <v>SHOP G004 KOTARA HOME CENTRE</v>
      </c>
      <c r="B47" s="188" t="str">
        <f>_xlfn.XLOOKUP($V47,'Customer Details '!$A:$A,'Customer Details '!G:G," ",0)</f>
        <v>1 KULLAIBA RD</v>
      </c>
      <c r="C47" s="188" t="str">
        <f>_xlfn.XLOOKUP($V47,'Customer Details '!$A:$A,'Customer Details '!H:H," ",0)</f>
        <v>KOTARA</v>
      </c>
      <c r="D47" s="188" t="str">
        <f>_xlfn.XLOOKUP($V47,'Customer Details '!$A:$A,'Customer Details '!I:I," ",0)</f>
        <v>NSW</v>
      </c>
      <c r="E47" s="188" t="str">
        <f>_xlfn.XLOOKUP($V47,'Customer Details '!$A:$A,'Customer Details '!J:J," ",0)</f>
        <v>2289</v>
      </c>
      <c r="F47" s="188" t="str">
        <f>_xlfn.XLOOKUP($V47,'Customer Details '!$A:$A,'Customer Details '!K:K," ",0)</f>
        <v>AUSTRALIA</v>
      </c>
      <c r="G47" s="188" t="str">
        <f>_xlfn.XLOOKUP($V47,'Customer Details '!$A:$A,'Customer Details '!L:L," ",0)</f>
        <v>-</v>
      </c>
      <c r="H47" s="189"/>
      <c r="I47" s="189"/>
      <c r="J47" s="189"/>
      <c r="K47" s="189"/>
      <c r="L47" s="189"/>
      <c r="M47" s="189"/>
      <c r="N47" s="189"/>
      <c r="O47" s="189"/>
      <c r="P47" s="189"/>
      <c r="Q47" s="189"/>
      <c r="R47" s="189"/>
      <c r="S47" s="189"/>
      <c r="T47">
        <v>43</v>
      </c>
      <c r="U47" s="113" t="str">
        <f>'Get Data -NSW(North)'!A44</f>
        <v>NSW (North)</v>
      </c>
      <c r="V47" s="113">
        <f>'Get Data -NSW(North)'!E44</f>
        <v>29817</v>
      </c>
      <c r="W47" s="113" t="str">
        <f>'Get Data -NSW(North)'!F44</f>
        <v>RSEA - KOTARA</v>
      </c>
      <c r="X47" s="244" t="str">
        <f>_xlfn.XLOOKUP(Table3[[#This Row],[Cust Code]],'Customer Details '!A:A,'Customer Details '!M:M," ",0)</f>
        <v>RSEA - KOTARA</v>
      </c>
      <c r="Y47" s="114" t="str">
        <f>_xlfn.XLOOKUP(Table3[[#This Row],[Cust Code]],' CVM'!C:C,' CVM'!H:H," ",0)</f>
        <v/>
      </c>
      <c r="Z47" s="115">
        <f>_xlfn.XLOOKUP(Table3[[#This Row],[Cust Code]],' CVM'!C:C,' CVM'!I:I," ",0)</f>
        <v>0</v>
      </c>
      <c r="AA47" s="115">
        <f>_xlfn.XLOOKUP(Table3[[#This Row],[Cust Code]],' CVM'!C:C,' CVM'!J:J," ",0)</f>
        <v>0</v>
      </c>
      <c r="AB47" s="89"/>
      <c r="AC47" s="232"/>
      <c r="AD47" s="232"/>
      <c r="AE47" s="230"/>
      <c r="AG47" s="234"/>
      <c r="AH47" s="235"/>
      <c r="AI47" s="235"/>
      <c r="AJ47" s="236"/>
      <c r="AL47" s="240"/>
      <c r="AM47" s="241"/>
      <c r="AN47" s="241"/>
      <c r="AO47" s="242"/>
    </row>
    <row r="48" spans="1:41">
      <c r="A48" s="188" t="str">
        <f>_xlfn.XLOOKUP($V48,'Customer Details '!$A:$A,'Customer Details '!F:F," ",0)</f>
        <v>1A / 343 NEW ENGLAND HWY</v>
      </c>
      <c r="B48" s="188" t="str">
        <f>_xlfn.XLOOKUP($V48,'Customer Details '!$A:$A,'Customer Details '!G:G," ",0)</f>
        <v>-</v>
      </c>
      <c r="C48" s="188" t="str">
        <f>_xlfn.XLOOKUP($V48,'Customer Details '!$A:$A,'Customer Details '!H:H," ",0)</f>
        <v>RUTHERFORD</v>
      </c>
      <c r="D48" s="188" t="str">
        <f>_xlfn.XLOOKUP($V48,'Customer Details '!$A:$A,'Customer Details '!I:I," ",0)</f>
        <v>NSW</v>
      </c>
      <c r="E48" s="188" t="str">
        <f>_xlfn.XLOOKUP($V48,'Customer Details '!$A:$A,'Customer Details '!J:J," ",0)</f>
        <v>2320</v>
      </c>
      <c r="F48" s="188" t="str">
        <f>_xlfn.XLOOKUP($V48,'Customer Details '!$A:$A,'Customer Details '!K:K," ",0)</f>
        <v>AUSTRALIA</v>
      </c>
      <c r="G48" s="188" t="str">
        <f>_xlfn.XLOOKUP($V48,'Customer Details '!$A:$A,'Customer Details '!L:L," ",0)</f>
        <v>-</v>
      </c>
      <c r="H48" s="189"/>
      <c r="I48" s="189"/>
      <c r="J48" s="189"/>
      <c r="K48" s="189"/>
      <c r="L48" s="189"/>
      <c r="M48" s="189"/>
      <c r="N48" s="189"/>
      <c r="O48" s="189"/>
      <c r="P48" s="189"/>
      <c r="Q48" s="189"/>
      <c r="R48" s="189"/>
      <c r="S48" s="189"/>
      <c r="T48">
        <v>44</v>
      </c>
      <c r="U48" s="113" t="str">
        <f>'Get Data -NSW(North)'!A45</f>
        <v>NSW (North)</v>
      </c>
      <c r="V48" s="113">
        <f>'Get Data -NSW(North)'!E45</f>
        <v>29896</v>
      </c>
      <c r="W48" s="113" t="str">
        <f>'Get Data -NSW(North)'!F45</f>
        <v>RSEA - RUTHERFORD</v>
      </c>
      <c r="X48" s="244" t="str">
        <f>_xlfn.XLOOKUP(Table3[[#This Row],[Cust Code]],'Customer Details '!A:A,'Customer Details '!M:M," ",0)</f>
        <v>RSEA - RUTHERFORD</v>
      </c>
      <c r="Y48" s="114" t="str">
        <f>_xlfn.XLOOKUP(Table3[[#This Row],[Cust Code]],' CVM'!C:C,' CVM'!H:H," ",0)</f>
        <v/>
      </c>
      <c r="Z48" s="115">
        <f>_xlfn.XLOOKUP(Table3[[#This Row],[Cust Code]],' CVM'!C:C,' CVM'!I:I," ",0)</f>
        <v>0</v>
      </c>
      <c r="AA48" s="115">
        <f>_xlfn.XLOOKUP(Table3[[#This Row],[Cust Code]],' CVM'!C:C,' CVM'!J:J," ",0)</f>
        <v>0</v>
      </c>
      <c r="AB48" s="89"/>
      <c r="AC48" s="232"/>
      <c r="AD48" s="232"/>
      <c r="AE48" s="230"/>
      <c r="AG48" s="234"/>
      <c r="AH48" s="235"/>
      <c r="AI48" s="235"/>
      <c r="AJ48" s="236"/>
      <c r="AL48" s="240"/>
      <c r="AM48" s="241"/>
      <c r="AN48" s="241"/>
      <c r="AO48" s="242"/>
    </row>
    <row r="49" spans="1:41" ht="23.25">
      <c r="A49" s="188" t="str">
        <f>_xlfn.XLOOKUP($V49,'Customer Details '!$A:$A,'Customer Details '!F:F," ",0)</f>
        <v>125 MATHIAS ROAD</v>
      </c>
      <c r="B49" s="188" t="str">
        <f>_xlfn.XLOOKUP($V49,'Customer Details '!$A:$A,'Customer Details '!G:G," ",0)</f>
        <v>-</v>
      </c>
      <c r="C49" s="188" t="str">
        <f>_xlfn.XLOOKUP($V49,'Customer Details '!$A:$A,'Customer Details '!H:H," ",0)</f>
        <v>GUNNEDAH</v>
      </c>
      <c r="D49" s="188" t="str">
        <f>_xlfn.XLOOKUP($V49,'Customer Details '!$A:$A,'Customer Details '!I:I," ",0)</f>
        <v>NSW</v>
      </c>
      <c r="E49" s="188" t="str">
        <f>_xlfn.XLOOKUP($V49,'Customer Details '!$A:$A,'Customer Details '!J:J," ",0)</f>
        <v>2380</v>
      </c>
      <c r="F49" s="188" t="str">
        <f>_xlfn.XLOOKUP($V49,'Customer Details '!$A:$A,'Customer Details '!K:K," ",0)</f>
        <v>AUSTRALIA</v>
      </c>
      <c r="G49" s="188" t="str">
        <f>_xlfn.XLOOKUP($V49,'Customer Details '!$A:$A,'Customer Details '!L:L," ",0)</f>
        <v>-</v>
      </c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89"/>
      <c r="S49" s="189"/>
      <c r="T49">
        <v>45</v>
      </c>
      <c r="U49" s="113" t="str">
        <f>'Get Data -NSW(North)'!A46</f>
        <v>NSW (North)</v>
      </c>
      <c r="V49" s="113">
        <f>'Get Data -NSW(North)'!E46</f>
        <v>28955</v>
      </c>
      <c r="W49" s="113" t="str">
        <f>'Get Data -NSW(North)'!F46</f>
        <v>STRIPES ASSET SERVICES PTY LIMITED</v>
      </c>
      <c r="X49" s="244" t="str">
        <f>_xlfn.XLOOKUP(Table3[[#This Row],[Cust Code]],'Customer Details '!A:A,'Customer Details '!M:M," ",0)</f>
        <v>STRIPES INDUSTRIAL GUNNEDAH</v>
      </c>
      <c r="Y49" s="114">
        <f>_xlfn.XLOOKUP(Table3[[#This Row],[Cust Code]],' CVM'!C:C,' CVM'!H:H," ",0)</f>
        <v>46063</v>
      </c>
      <c r="Z49" s="115">
        <f>_xlfn.XLOOKUP(Table3[[#This Row],[Cust Code]],' CVM'!C:C,' CVM'!I:I," ",0)</f>
        <v>1</v>
      </c>
      <c r="AA49" s="115">
        <f>_xlfn.XLOOKUP(Table3[[#This Row],[Cust Code]],' CVM'!C:C,' CVM'!J:J," ",0)</f>
        <v>1</v>
      </c>
      <c r="AB49" s="89" t="s">
        <v>469</v>
      </c>
      <c r="AC49" s="232" t="s">
        <v>474</v>
      </c>
      <c r="AD49" s="232" t="s">
        <v>478</v>
      </c>
      <c r="AE49" s="230"/>
      <c r="AF49" t="s">
        <v>505</v>
      </c>
      <c r="AG49" s="234" t="s">
        <v>469</v>
      </c>
      <c r="AH49" s="235" t="s">
        <v>474</v>
      </c>
      <c r="AI49" s="235"/>
      <c r="AJ49" s="236"/>
      <c r="AL49" s="240"/>
      <c r="AM49" s="241"/>
      <c r="AN49" s="241"/>
      <c r="AO49" s="242"/>
    </row>
    <row r="50" spans="1:41" ht="23.25">
      <c r="A50" s="188" t="str">
        <f>_xlfn.XLOOKUP($V50,'Customer Details '!$A:$A,'Customer Details '!F:F," ",0)</f>
        <v>5B SYDNEY ROAD</v>
      </c>
      <c r="B50" s="188" t="str">
        <f>_xlfn.XLOOKUP($V50,'Customer Details '!$A:$A,'Customer Details '!G:G," ",0)</f>
        <v>-</v>
      </c>
      <c r="C50" s="188" t="str">
        <f>_xlfn.XLOOKUP($V50,'Customer Details '!$A:$A,'Customer Details '!H:H," ",0)</f>
        <v>MUDGEE</v>
      </c>
      <c r="D50" s="188" t="str">
        <f>_xlfn.XLOOKUP($V50,'Customer Details '!$A:$A,'Customer Details '!I:I," ",0)</f>
        <v>NSW</v>
      </c>
      <c r="E50" s="188" t="str">
        <f>_xlfn.XLOOKUP($V50,'Customer Details '!$A:$A,'Customer Details '!J:J," ",0)</f>
        <v>2850</v>
      </c>
      <c r="F50" s="188" t="str">
        <f>_xlfn.XLOOKUP($V50,'Customer Details '!$A:$A,'Customer Details '!K:K," ",0)</f>
        <v>AUSTRALIA</v>
      </c>
      <c r="G50" s="188" t="str">
        <f>_xlfn.XLOOKUP($V50,'Customer Details '!$A:$A,'Customer Details '!L:L," ",0)</f>
        <v>Molly acc's James</v>
      </c>
      <c r="H50" s="189"/>
      <c r="I50" s="189"/>
      <c r="J50" s="189"/>
      <c r="K50" s="189"/>
      <c r="L50" s="189"/>
      <c r="M50" s="189"/>
      <c r="N50" s="189"/>
      <c r="O50" s="189"/>
      <c r="P50" s="189"/>
      <c r="Q50" s="189"/>
      <c r="R50" s="189"/>
      <c r="S50" s="189"/>
      <c r="T50">
        <v>46</v>
      </c>
      <c r="U50" s="113" t="str">
        <f>'Get Data -NSW(North)'!A47</f>
        <v>NSW (North)</v>
      </c>
      <c r="V50" s="113">
        <f>'Get Data -NSW(North)'!E47</f>
        <v>27869</v>
      </c>
      <c r="W50" s="113" t="str">
        <f>'Get Data -NSW(North)'!F47</f>
        <v>STRIPES INDUSTRIAL SUPPLIES MUDGEE P/L</v>
      </c>
      <c r="X50" s="244" t="str">
        <f>_xlfn.XLOOKUP(Table3[[#This Row],[Cust Code]],'Customer Details '!A:A,'Customer Details '!M:M," ",0)</f>
        <v>STRIPES INDUSTRIAL SUPPLIES MUDGEE P/L</v>
      </c>
      <c r="Y50" s="114">
        <f>_xlfn.XLOOKUP(Table3[[#This Row],[Cust Code]],' CVM'!C:C,' CVM'!H:H," ",0)</f>
        <v>46062</v>
      </c>
      <c r="Z50" s="115">
        <f>_xlfn.XLOOKUP(Table3[[#This Row],[Cust Code]],' CVM'!C:C,' CVM'!I:I," ",0)</f>
        <v>1</v>
      </c>
      <c r="AA50" s="115">
        <f>_xlfn.XLOOKUP(Table3[[#This Row],[Cust Code]],' CVM'!C:C,' CVM'!J:J," ",0)</f>
        <v>1</v>
      </c>
      <c r="AB50" s="89" t="s">
        <v>469</v>
      </c>
      <c r="AC50" s="232" t="s">
        <v>474</v>
      </c>
      <c r="AD50" s="232" t="s">
        <v>478</v>
      </c>
      <c r="AE50" s="230"/>
      <c r="AF50" t="s">
        <v>505</v>
      </c>
      <c r="AG50" s="234" t="s">
        <v>469</v>
      </c>
      <c r="AH50" s="235" t="s">
        <v>474</v>
      </c>
      <c r="AI50" s="235"/>
      <c r="AJ50" s="236"/>
      <c r="AL50" s="240"/>
      <c r="AM50" s="241"/>
      <c r="AN50" s="241"/>
      <c r="AO50" s="242"/>
    </row>
    <row r="51" spans="1:41" ht="16.5">
      <c r="A51" s="188" t="str">
        <f>_xlfn.XLOOKUP($V51,'Customer Details '!$A:$A,'Customer Details '!F:F," ",0)</f>
        <v>148 VINCENT STREET</v>
      </c>
      <c r="B51" s="188" t="str">
        <f>_xlfn.XLOOKUP($V51,'Customer Details '!$A:$A,'Customer Details '!G:G," ",0)</f>
        <v>.</v>
      </c>
      <c r="C51" s="188" t="str">
        <f>_xlfn.XLOOKUP($V51,'Customer Details '!$A:$A,'Customer Details '!H:H," ",0)</f>
        <v>CESSNOCK</v>
      </c>
      <c r="D51" s="188" t="str">
        <f>_xlfn.XLOOKUP($V51,'Customer Details '!$A:$A,'Customer Details '!I:I," ",0)</f>
        <v>NSW</v>
      </c>
      <c r="E51" s="188" t="str">
        <f>_xlfn.XLOOKUP($V51,'Customer Details '!$A:$A,'Customer Details '!J:J," ",0)</f>
        <v>2325</v>
      </c>
      <c r="F51" s="188" t="str">
        <f>_xlfn.XLOOKUP($V51,'Customer Details '!$A:$A,'Customer Details '!K:K," ",0)</f>
        <v>AUSTRALIA</v>
      </c>
      <c r="G51" s="188" t="str">
        <f>_xlfn.XLOOKUP($V51,'Customer Details '!$A:$A,'Customer Details '!L:L," ",0)</f>
        <v>Luke</v>
      </c>
      <c r="H51" s="189"/>
      <c r="I51" s="189"/>
      <c r="J51" s="189"/>
      <c r="K51" s="189"/>
      <c r="L51" s="189"/>
      <c r="M51" s="189"/>
      <c r="N51" s="189"/>
      <c r="O51" s="189"/>
      <c r="P51" s="189"/>
      <c r="Q51" s="189"/>
      <c r="R51" s="189"/>
      <c r="S51" s="189"/>
      <c r="T51">
        <v>47</v>
      </c>
      <c r="U51" s="113" t="str">
        <f>'Get Data -NSW(North)'!A48</f>
        <v>NSW (North)</v>
      </c>
      <c r="V51" s="113">
        <f>'Get Data -NSW(North)'!E48</f>
        <v>29673</v>
      </c>
      <c r="W51" s="113" t="str">
        <f>'Get Data -NSW(North)'!F48</f>
        <v>THREAD AND INK WORKWEAR</v>
      </c>
      <c r="X51" s="244" t="str">
        <f>_xlfn.XLOOKUP(Table3[[#This Row],[Cust Code]],'Customer Details '!A:A,'Customer Details '!M:M," ",0)</f>
        <v>THREAD AND INK WORKWEAR</v>
      </c>
      <c r="Y51" s="114" t="str">
        <f>_xlfn.XLOOKUP(Table3[[#This Row],[Cust Code]],' CVM'!C:C,' CVM'!H:H," ",0)</f>
        <v/>
      </c>
      <c r="Z51" s="115">
        <f>_xlfn.XLOOKUP(Table3[[#This Row],[Cust Code]],' CVM'!C:C,' CVM'!I:I," ",0)</f>
        <v>0</v>
      </c>
      <c r="AA51" s="115">
        <f>_xlfn.XLOOKUP(Table3[[#This Row],[Cust Code]],' CVM'!C:C,' CVM'!J:J," ",0)</f>
        <v>0</v>
      </c>
      <c r="AB51" s="89"/>
      <c r="AC51" s="232" t="s">
        <v>471</v>
      </c>
      <c r="AD51" s="232"/>
      <c r="AE51" s="230"/>
      <c r="AG51" s="234"/>
      <c r="AH51" s="235"/>
      <c r="AI51" s="235"/>
      <c r="AJ51" s="236"/>
      <c r="AL51" s="240"/>
      <c r="AM51" s="241"/>
      <c r="AN51" s="241"/>
      <c r="AO51" s="242"/>
    </row>
    <row r="52" spans="1:41" ht="16.5">
      <c r="A52" s="188" t="str">
        <f>_xlfn.XLOOKUP($V52,'Customer Details '!$A:$A,'Customer Details '!F:F," ",0)</f>
        <v>UNIT 2, 6 BRADFORD CLOSE</v>
      </c>
      <c r="B52" s="188" t="str">
        <f>_xlfn.XLOOKUP($V52,'Customer Details '!$A:$A,'Customer Details '!G:G," ",0)</f>
        <v>-</v>
      </c>
      <c r="C52" s="188" t="str">
        <f>_xlfn.XLOOKUP($V52,'Customer Details '!$A:$A,'Customer Details '!H:H," ",0)</f>
        <v>KOTARA</v>
      </c>
      <c r="D52" s="188" t="str">
        <f>_xlfn.XLOOKUP($V52,'Customer Details '!$A:$A,'Customer Details '!I:I," ",0)</f>
        <v>NSW</v>
      </c>
      <c r="E52" s="188" t="str">
        <f>_xlfn.XLOOKUP($V52,'Customer Details '!$A:$A,'Customer Details '!J:J," ",0)</f>
        <v>2289</v>
      </c>
      <c r="F52" s="188" t="str">
        <f>_xlfn.XLOOKUP($V52,'Customer Details '!$A:$A,'Customer Details '!K:K," ",0)</f>
        <v>AUSTRALIA</v>
      </c>
      <c r="G52" s="188" t="str">
        <f>_xlfn.XLOOKUP($V52,'Customer Details '!$A:$A,'Customer Details '!L:L," ",0)</f>
        <v>Shane Williams</v>
      </c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>
        <v>48</v>
      </c>
      <c r="U52" s="113" t="str">
        <f>'Get Data -NSW(North)'!A49</f>
        <v>NSW (North)</v>
      </c>
      <c r="V52" s="113">
        <f>'Get Data -NSW(North)'!E49</f>
        <v>29121</v>
      </c>
      <c r="W52" s="113" t="str">
        <f>'Get Data -NSW(North)'!F49</f>
        <v>TOTALLY WORKWEAR  KOTARA</v>
      </c>
      <c r="X52" s="244" t="str">
        <f>_xlfn.XLOOKUP(Table3[[#This Row],[Cust Code]],'Customer Details '!A:A,'Customer Details '!M:M," ",0)</f>
        <v>TOTALLY WORKWEAR PORT KOTARA</v>
      </c>
      <c r="Y52" s="114">
        <f>_xlfn.XLOOKUP(Table3[[#This Row],[Cust Code]],' CVM'!C:C,' CVM'!H:H," ",0)</f>
        <v>46058</v>
      </c>
      <c r="Z52" s="115">
        <f>_xlfn.XLOOKUP(Table3[[#This Row],[Cust Code]],' CVM'!C:C,' CVM'!I:I," ",0)</f>
        <v>1</v>
      </c>
      <c r="AA52" s="115">
        <f>_xlfn.XLOOKUP(Table3[[#This Row],[Cust Code]],' CVM'!C:C,' CVM'!J:J," ",0)</f>
        <v>1</v>
      </c>
      <c r="AB52" s="89" t="s">
        <v>469</v>
      </c>
      <c r="AC52" s="232" t="s">
        <v>474</v>
      </c>
      <c r="AD52" s="267"/>
      <c r="AE52" s="230"/>
      <c r="AF52" t="s">
        <v>505</v>
      </c>
      <c r="AG52" s="234"/>
      <c r="AH52" s="235"/>
      <c r="AI52" s="235"/>
      <c r="AJ52" s="236"/>
      <c r="AL52" s="240"/>
      <c r="AM52" s="241"/>
      <c r="AN52" s="241"/>
      <c r="AO52" s="242"/>
    </row>
    <row r="53" spans="1:41" ht="16.5">
      <c r="A53" s="188" t="str">
        <f>_xlfn.XLOOKUP($V53,'Customer Details '!$A:$A,'Customer Details '!F:F," ",0)</f>
        <v>130 PACIFIC HWY</v>
      </c>
      <c r="B53" s="188" t="str">
        <f>_xlfn.XLOOKUP($V53,'Customer Details '!$A:$A,'Customer Details '!G:G," ",0)</f>
        <v>.</v>
      </c>
      <c r="C53" s="188" t="str">
        <f>_xlfn.XLOOKUP($V53,'Customer Details '!$A:$A,'Customer Details '!H:H," ",0)</f>
        <v>TUGGERAH</v>
      </c>
      <c r="D53" s="188" t="str">
        <f>_xlfn.XLOOKUP($V53,'Customer Details '!$A:$A,'Customer Details '!I:I," ",0)</f>
        <v>NSW</v>
      </c>
      <c r="E53" s="188" t="str">
        <f>_xlfn.XLOOKUP($V53,'Customer Details '!$A:$A,'Customer Details '!J:J," ",0)</f>
        <v>2259</v>
      </c>
      <c r="F53" s="188" t="str">
        <f>_xlfn.XLOOKUP($V53,'Customer Details '!$A:$A,'Customer Details '!K:K," ",0)</f>
        <v>AUSTRALIA</v>
      </c>
      <c r="G53" s="188" t="str">
        <f>_xlfn.XLOOKUP($V53,'Customer Details '!$A:$A,'Customer Details '!L:L," ",0)</f>
        <v>Sharyn</v>
      </c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>
        <v>49</v>
      </c>
      <c r="U53" s="113" t="str">
        <f>'Get Data -NSW(North)'!A50</f>
        <v>NSW (North)</v>
      </c>
      <c r="V53" s="113">
        <f>'Get Data -NSW(North)'!E50</f>
        <v>29956</v>
      </c>
      <c r="W53" s="113" t="str">
        <f>'Get Data -NSW(North)'!F50</f>
        <v>TOTALLY WORKWEAR CENTRAL COAST</v>
      </c>
      <c r="X53" s="244" t="str">
        <f>_xlfn.XLOOKUP(Table3[[#This Row],[Cust Code]],'Customer Details '!A:A,'Customer Details '!M:M," ",0)</f>
        <v>TOTALLY WORKWEAR CENTRAL COAST</v>
      </c>
      <c r="Y53" s="114">
        <f>_xlfn.XLOOKUP(Table3[[#This Row],[Cust Code]],' CVM'!C:C,' CVM'!H:H," ",0)</f>
        <v>46057</v>
      </c>
      <c r="Z53" s="115">
        <f>_xlfn.XLOOKUP(Table3[[#This Row],[Cust Code]],' CVM'!C:C,' CVM'!I:I," ",0)</f>
        <v>1</v>
      </c>
      <c r="AA53" s="115">
        <f>_xlfn.XLOOKUP(Table3[[#This Row],[Cust Code]],' CVM'!C:C,' CVM'!J:J," ",0)</f>
        <v>1</v>
      </c>
      <c r="AB53" s="89" t="s">
        <v>469</v>
      </c>
      <c r="AC53" s="232" t="s">
        <v>471</v>
      </c>
      <c r="AD53" s="232"/>
      <c r="AE53" s="230"/>
      <c r="AG53" s="234" t="s">
        <v>469</v>
      </c>
      <c r="AH53" s="235"/>
      <c r="AI53" s="235"/>
      <c r="AJ53" s="236"/>
      <c r="AL53" s="240"/>
      <c r="AM53" s="241"/>
      <c r="AN53" s="241"/>
      <c r="AO53" s="242"/>
    </row>
    <row r="54" spans="1:41" ht="23.25">
      <c r="A54" s="188" t="str">
        <f>_xlfn.XLOOKUP($V54,'Customer Details '!$A:$A,'Customer Details '!F:F," ",0)</f>
        <v>224 BRIDGE STREET</v>
      </c>
      <c r="B54" s="188" t="str">
        <f>_xlfn.XLOOKUP($V54,'Customer Details '!$A:$A,'Customer Details '!G:G," ",0)</f>
        <v>-</v>
      </c>
      <c r="C54" s="188" t="str">
        <f>_xlfn.XLOOKUP($V54,'Customer Details '!$A:$A,'Customer Details '!H:H," ",0)</f>
        <v>TAMWORTH</v>
      </c>
      <c r="D54" s="188" t="str">
        <f>_xlfn.XLOOKUP($V54,'Customer Details '!$A:$A,'Customer Details '!I:I," ",0)</f>
        <v>NSW</v>
      </c>
      <c r="E54" s="188" t="str">
        <f>_xlfn.XLOOKUP($V54,'Customer Details '!$A:$A,'Customer Details '!J:J," ",0)</f>
        <v>2340</v>
      </c>
      <c r="F54" s="188" t="str">
        <f>_xlfn.XLOOKUP($V54,'Customer Details '!$A:$A,'Customer Details '!K:K," ",0)</f>
        <v>AUSTRALIA</v>
      </c>
      <c r="G54" s="188" t="str">
        <f>_xlfn.XLOOKUP($V54,'Customer Details '!$A:$A,'Customer Details '!L:L," ",0)</f>
        <v>Sarah Richmond</v>
      </c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  <c r="S54" s="189"/>
      <c r="T54">
        <v>50</v>
      </c>
      <c r="U54" s="113" t="str">
        <f>'Get Data -NSW(North)'!A51</f>
        <v>NSW (North)</v>
      </c>
      <c r="V54" s="113">
        <f>'Get Data -NSW(North)'!E51</f>
        <v>29858</v>
      </c>
      <c r="W54" s="113" t="str">
        <f>'Get Data -NSW(North)'!F51</f>
        <v>TOTALLY WORKWEAR TAMWORTH</v>
      </c>
      <c r="X54" s="244" t="str">
        <f>_xlfn.XLOOKUP(Table3[[#This Row],[Cust Code]],'Customer Details '!A:A,'Customer Details '!M:M," ",0)</f>
        <v>TOTALLY WORKWEAR  TAMWORTH</v>
      </c>
      <c r="Y54" s="114">
        <f>_xlfn.XLOOKUP(Table3[[#This Row],[Cust Code]],' CVM'!C:C,' CVM'!H:H," ",0)</f>
        <v>46065</v>
      </c>
      <c r="Z54" s="115">
        <f>_xlfn.XLOOKUP(Table3[[#This Row],[Cust Code]],' CVM'!C:C,' CVM'!I:I," ",0)</f>
        <v>1</v>
      </c>
      <c r="AA54" s="115">
        <f>_xlfn.XLOOKUP(Table3[[#This Row],[Cust Code]],' CVM'!C:C,' CVM'!J:J," ",0)</f>
        <v>1</v>
      </c>
      <c r="AB54" s="89" t="s">
        <v>469</v>
      </c>
      <c r="AC54" s="232" t="s">
        <v>474</v>
      </c>
      <c r="AD54" s="232" t="s">
        <v>478</v>
      </c>
      <c r="AE54" s="230"/>
      <c r="AF54" t="s">
        <v>505</v>
      </c>
      <c r="AG54" s="234" t="s">
        <v>469</v>
      </c>
      <c r="AH54" s="235" t="s">
        <v>476</v>
      </c>
      <c r="AI54" s="235"/>
      <c r="AJ54" s="236"/>
      <c r="AL54" s="240"/>
      <c r="AM54" s="241"/>
      <c r="AN54" s="241"/>
      <c r="AO54" s="242"/>
    </row>
    <row r="55" spans="1:41" ht="16.5">
      <c r="A55" s="188" t="str">
        <f>_xlfn.XLOOKUP($V55,'Customer Details '!$A:$A,'Customer Details '!F:F," ",0)</f>
        <v>SHOP 5, 180 LAKE ROAD</v>
      </c>
      <c r="B55" s="188" t="str">
        <f>_xlfn.XLOOKUP($V55,'Customer Details '!$A:$A,'Customer Details '!G:G," ",0)</f>
        <v>.</v>
      </c>
      <c r="C55" s="188" t="str">
        <f>_xlfn.XLOOKUP($V55,'Customer Details '!$A:$A,'Customer Details '!H:H," ",0)</f>
        <v>PORT MACQUARIE</v>
      </c>
      <c r="D55" s="188" t="str">
        <f>_xlfn.XLOOKUP($V55,'Customer Details '!$A:$A,'Customer Details '!I:I," ",0)</f>
        <v>NSW</v>
      </c>
      <c r="E55" s="188" t="str">
        <f>_xlfn.XLOOKUP($V55,'Customer Details '!$A:$A,'Customer Details '!J:J," ",0)</f>
        <v>2444</v>
      </c>
      <c r="F55" s="188" t="str">
        <f>_xlfn.XLOOKUP($V55,'Customer Details '!$A:$A,'Customer Details '!K:K," ",0)</f>
        <v>AUSTRALIA</v>
      </c>
      <c r="G55" s="188" t="str">
        <f>_xlfn.XLOOKUP($V55,'Customer Details '!$A:$A,'Customer Details '!L:L," ",0)</f>
        <v>Amanda Black</v>
      </c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  <c r="S55" s="189"/>
      <c r="T55">
        <v>51</v>
      </c>
      <c r="U55" s="113" t="str">
        <f>'Get Data -NSW(North)'!A52</f>
        <v>NSW (North)</v>
      </c>
      <c r="V55" s="113">
        <f>'Get Data -NSW(North)'!E52</f>
        <v>29442</v>
      </c>
      <c r="W55" s="113" t="str">
        <f>'Get Data -NSW(North)'!F52</f>
        <v>UNCI GROUP PTY LTD T/AS THINK SAFETY</v>
      </c>
      <c r="X55" s="244" t="str">
        <f>_xlfn.XLOOKUP(Table3[[#This Row],[Cust Code]],'Customer Details '!A:A,'Customer Details '!M:M," ",0)</f>
        <v>THINK SAFETY</v>
      </c>
      <c r="Y55" s="114">
        <f>_xlfn.XLOOKUP(Table3[[#This Row],[Cust Code]],' CVM'!C:C,' CVM'!H:H," ",0)</f>
        <v>46071</v>
      </c>
      <c r="Z55" s="115">
        <f>_xlfn.XLOOKUP(Table3[[#This Row],[Cust Code]],' CVM'!C:C,' CVM'!I:I," ",0)</f>
        <v>0</v>
      </c>
      <c r="AA55" s="115">
        <f>_xlfn.XLOOKUP(Table3[[#This Row],[Cust Code]],' CVM'!C:C,' CVM'!J:J," ",0)</f>
        <v>0</v>
      </c>
      <c r="AB55" s="89" t="s">
        <v>469</v>
      </c>
      <c r="AC55" s="232" t="s">
        <v>471</v>
      </c>
      <c r="AD55" s="232"/>
      <c r="AE55" s="230"/>
      <c r="AG55" s="234"/>
      <c r="AH55" s="235"/>
      <c r="AI55" s="235"/>
      <c r="AJ55" s="236"/>
      <c r="AL55" s="240"/>
      <c r="AM55" s="241"/>
      <c r="AN55" s="241"/>
      <c r="AO55" s="242"/>
    </row>
    <row r="56" spans="1:41" ht="16.5">
      <c r="A56" s="188" t="str">
        <f>_xlfn.XLOOKUP($V56,'Customer Details '!$A:$A,'Customer Details '!F:F," ",0)</f>
        <v>2 / 57 CENTRAL COAST HWY</v>
      </c>
      <c r="B56" s="188" t="str">
        <f>_xlfn.XLOOKUP($V56,'Customer Details '!$A:$A,'Customer Details '!G:G," ",0)</f>
        <v>.</v>
      </c>
      <c r="C56" s="188" t="str">
        <f>_xlfn.XLOOKUP($V56,'Customer Details '!$A:$A,'Customer Details '!H:H," ",0)</f>
        <v>WEST GOSFORD</v>
      </c>
      <c r="D56" s="188" t="str">
        <f>_xlfn.XLOOKUP($V56,'Customer Details '!$A:$A,'Customer Details '!I:I," ",0)</f>
        <v>NSW</v>
      </c>
      <c r="E56" s="188" t="str">
        <f>_xlfn.XLOOKUP($V56,'Customer Details '!$A:$A,'Customer Details '!J:J," ",0)</f>
        <v>2250</v>
      </c>
      <c r="F56" s="188" t="str">
        <f>_xlfn.XLOOKUP($V56,'Customer Details '!$A:$A,'Customer Details '!K:K," ",0)</f>
        <v>AUSTRALIA</v>
      </c>
      <c r="G56" s="188" t="str">
        <f>_xlfn.XLOOKUP($V56,'Customer Details '!$A:$A,'Customer Details '!L:L," ",0)</f>
        <v>Craig Giles</v>
      </c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  <c r="S56" s="189"/>
      <c r="T56">
        <v>52</v>
      </c>
      <c r="U56" s="113" t="str">
        <f>'Get Data -NSW(North)'!A53</f>
        <v>NSW (North)</v>
      </c>
      <c r="V56" s="113">
        <f>'Get Data -NSW(North)'!E53</f>
        <v>29471</v>
      </c>
      <c r="W56" s="113" t="str">
        <f>'Get Data -NSW(North)'!F53</f>
        <v>WORKIN GEAR GOSFORD</v>
      </c>
      <c r="X56" s="244" t="str">
        <f>_xlfn.XLOOKUP(Table3[[#This Row],[Cust Code]],'Customer Details '!A:A,'Customer Details '!M:M," ",0)</f>
        <v>WORKIN GEAR GOSFORD</v>
      </c>
      <c r="Y56" s="114">
        <f>_xlfn.XLOOKUP(Table3[[#This Row],[Cust Code]],' CVM'!C:C,' CVM'!H:H," ",0)</f>
        <v>46057</v>
      </c>
      <c r="Z56" s="115">
        <f>_xlfn.XLOOKUP(Table3[[#This Row],[Cust Code]],' CVM'!C:C,' CVM'!I:I," ",0)</f>
        <v>1</v>
      </c>
      <c r="AA56" s="115">
        <f>_xlfn.XLOOKUP(Table3[[#This Row],[Cust Code]],' CVM'!C:C,' CVM'!J:J," ",0)</f>
        <v>1</v>
      </c>
      <c r="AB56" s="89" t="s">
        <v>469</v>
      </c>
      <c r="AC56" s="232" t="s">
        <v>471</v>
      </c>
      <c r="AD56" s="232"/>
      <c r="AE56" s="230"/>
      <c r="AG56" s="234" t="s">
        <v>469</v>
      </c>
      <c r="AH56" s="235" t="s">
        <v>476</v>
      </c>
      <c r="AI56" s="235"/>
      <c r="AJ56" s="236"/>
      <c r="AL56" s="240"/>
      <c r="AM56" s="241"/>
      <c r="AN56" s="241"/>
      <c r="AO56" s="242"/>
    </row>
    <row r="57" spans="1:41" ht="16.5">
      <c r="A57" s="188" t="str">
        <f>_xlfn.XLOOKUP($V57,'Customer Details '!$A:$A,'Customer Details '!F:F," ",0)</f>
        <v>1B / 9 BRODIE STREET</v>
      </c>
      <c r="B57" s="188" t="str">
        <f>_xlfn.XLOOKUP($V57,'Customer Details '!$A:$A,'Customer Details '!G:G," ",0)</f>
        <v>-</v>
      </c>
      <c r="C57" s="188" t="str">
        <f>_xlfn.XLOOKUP($V57,'Customer Details '!$A:$A,'Customer Details '!H:H," ",0)</f>
        <v>MORISSET</v>
      </c>
      <c r="D57" s="188" t="str">
        <f>_xlfn.XLOOKUP($V57,'Customer Details '!$A:$A,'Customer Details '!I:I," ",0)</f>
        <v>NSW</v>
      </c>
      <c r="E57" s="188" t="str">
        <f>_xlfn.XLOOKUP($V57,'Customer Details '!$A:$A,'Customer Details '!J:J," ",0)</f>
        <v>2264</v>
      </c>
      <c r="F57" s="188" t="str">
        <f>_xlfn.XLOOKUP($V57,'Customer Details '!$A:$A,'Customer Details '!K:K," ",0)</f>
        <v>AUSTRALIA</v>
      </c>
      <c r="G57" s="188" t="str">
        <f>_xlfn.XLOOKUP($V57,'Customer Details '!$A:$A,'Customer Details '!L:L," ",0)</f>
        <v>-</v>
      </c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>
        <v>53</v>
      </c>
      <c r="U57" s="113" t="str">
        <f>'Get Data -NSW(North)'!A54</f>
        <v>NSW (North)</v>
      </c>
      <c r="V57" s="113">
        <f>'Get Data -NSW(North)'!E54</f>
        <v>27354</v>
      </c>
      <c r="W57" s="113" t="str">
        <f>'Get Data -NSW(North)'!F54</f>
        <v>WORKWEAR MORISSET PTY LTD</v>
      </c>
      <c r="X57" s="244" t="str">
        <f>_xlfn.XLOOKUP(Table3[[#This Row],[Cust Code]],'Customer Details '!A:A,'Customer Details '!M:M," ",0)</f>
        <v>WORKWEAR MORISSET PTY LTD</v>
      </c>
      <c r="Y57" s="114">
        <f>_xlfn.XLOOKUP(Table3[[#This Row],[Cust Code]],' CVM'!C:C,' CVM'!H:H," ",0)</f>
        <v>46057</v>
      </c>
      <c r="Z57" s="115">
        <f>_xlfn.XLOOKUP(Table3[[#This Row],[Cust Code]],' CVM'!C:C,' CVM'!I:I," ",0)</f>
        <v>1</v>
      </c>
      <c r="AA57" s="115">
        <f>_xlfn.XLOOKUP(Table3[[#This Row],[Cust Code]],' CVM'!C:C,' CVM'!J:J," ",0)</f>
        <v>1</v>
      </c>
      <c r="AB57" s="89" t="s">
        <v>469</v>
      </c>
      <c r="AC57" s="232" t="s">
        <v>471</v>
      </c>
      <c r="AD57" s="232"/>
      <c r="AE57" s="230"/>
      <c r="AG57" s="234"/>
      <c r="AH57" s="235"/>
      <c r="AI57" s="235"/>
      <c r="AJ57" s="236"/>
      <c r="AL57" s="240"/>
      <c r="AM57" s="241"/>
      <c r="AN57" s="241"/>
      <c r="AO57" s="242"/>
    </row>
    <row r="58" spans="1:41">
      <c r="A58" s="188" t="str">
        <f>_xlfn.XLOOKUP($V58,'Customer Details '!$A:$A,'Customer Details '!F:F," ",0)</f>
        <v>SHOP 3 / 395 HILLSBOROUGH  ROAD</v>
      </c>
      <c r="B58" s="188" t="str">
        <f>_xlfn.XLOOKUP($V58,'Customer Details '!$A:$A,'Customer Details '!G:G," ",0)</f>
        <v>-</v>
      </c>
      <c r="C58" s="188" t="str">
        <f>_xlfn.XLOOKUP($V58,'Customer Details '!$A:$A,'Customer Details '!H:H," ",0)</f>
        <v>WARNERS BAY</v>
      </c>
      <c r="D58" s="188" t="str">
        <f>_xlfn.XLOOKUP($V58,'Customer Details '!$A:$A,'Customer Details '!I:I," ",0)</f>
        <v>NSW</v>
      </c>
      <c r="E58" s="188" t="str">
        <f>_xlfn.XLOOKUP($V58,'Customer Details '!$A:$A,'Customer Details '!J:J," ",0)</f>
        <v>2264</v>
      </c>
      <c r="F58" s="188" t="str">
        <f>_xlfn.XLOOKUP($V58,'Customer Details '!$A:$A,'Customer Details '!K:K," ",0)</f>
        <v>AUSTRALIA</v>
      </c>
      <c r="G58" s="188" t="str">
        <f>_xlfn.XLOOKUP($V58,'Customer Details '!$A:$A,'Customer Details '!L:L," ",0)</f>
        <v>-</v>
      </c>
      <c r="H58" s="189"/>
      <c r="I58" s="189"/>
      <c r="J58" s="189"/>
      <c r="K58" s="189"/>
      <c r="L58" s="189"/>
      <c r="M58" s="189"/>
      <c r="N58" s="189"/>
      <c r="O58" s="189"/>
      <c r="P58" s="189"/>
      <c r="Q58" s="189"/>
      <c r="R58" s="189"/>
      <c r="S58" s="189"/>
      <c r="T58">
        <v>54</v>
      </c>
      <c r="U58" s="113" t="str">
        <f>'Get Data -NSW(North)'!A55</f>
        <v>NSW (North)</v>
      </c>
      <c r="V58" s="113">
        <f>'Get Data -NSW(North)'!E55</f>
        <v>27357</v>
      </c>
      <c r="W58" s="113" t="str">
        <f>'Get Data -NSW(North)'!F55</f>
        <v>WORKWEAR WARNERS BAY PTY LTD</v>
      </c>
      <c r="X58" s="244" t="str">
        <f>_xlfn.XLOOKUP(Table3[[#This Row],[Cust Code]],'Customer Details '!A:A,'Customer Details '!M:M," ",0)</f>
        <v>WORKWEAR WARNERS BAY PTY LTD</v>
      </c>
      <c r="Y58" s="114" t="str">
        <f>_xlfn.XLOOKUP(Table3[[#This Row],[Cust Code]],' CVM'!C:C,' CVM'!H:H," ",0)</f>
        <v/>
      </c>
      <c r="Z58" s="115">
        <f>_xlfn.XLOOKUP(Table3[[#This Row],[Cust Code]],' CVM'!C:C,' CVM'!I:I," ",0)</f>
        <v>0</v>
      </c>
      <c r="AA58" s="115">
        <f>_xlfn.XLOOKUP(Table3[[#This Row],[Cust Code]],' CVM'!C:C,' CVM'!J:J," ",0)</f>
        <v>0</v>
      </c>
      <c r="AB58" s="89" t="s">
        <v>469</v>
      </c>
      <c r="AC58" s="232" t="s">
        <v>471</v>
      </c>
      <c r="AD58" s="232"/>
      <c r="AE58" s="230"/>
      <c r="AG58" s="234"/>
      <c r="AH58" s="235"/>
      <c r="AI58" s="235"/>
      <c r="AJ58" s="236"/>
      <c r="AL58" s="240"/>
      <c r="AM58" s="241"/>
      <c r="AN58" s="241"/>
      <c r="AO58" s="242"/>
    </row>
    <row r="59" spans="1:41">
      <c r="A59" s="188" t="str">
        <f>_xlfn.XLOOKUP($V59,'Customer Details '!$A:$A,'Customer Details '!F:F," ",0)</f>
        <v>49 WHITBREAD STREET</v>
      </c>
      <c r="B59" s="188" t="str">
        <f>_xlfn.XLOOKUP($V59,'Customer Details '!$A:$A,'Customer Details '!G:G," ",0)</f>
        <v>.</v>
      </c>
      <c r="C59" s="188" t="str">
        <f>_xlfn.XLOOKUP($V59,'Customer Details '!$A:$A,'Customer Details '!H:H," ",0)</f>
        <v>TAREE</v>
      </c>
      <c r="D59" s="188" t="str">
        <f>_xlfn.XLOOKUP($V59,'Customer Details '!$A:$A,'Customer Details '!I:I," ",0)</f>
        <v>NSW</v>
      </c>
      <c r="E59" s="188" t="str">
        <f>_xlfn.XLOOKUP($V59,'Customer Details '!$A:$A,'Customer Details '!J:J," ",0)</f>
        <v>2430</v>
      </c>
      <c r="F59" s="188" t="str">
        <f>_xlfn.XLOOKUP($V59,'Customer Details '!$A:$A,'Customer Details '!K:K," ",0)</f>
        <v>AUSTRALIA</v>
      </c>
      <c r="G59" s="188" t="str">
        <f>_xlfn.XLOOKUP($V59,'Customer Details '!$A:$A,'Customer Details '!L:L," ",0)</f>
        <v>Janelle Webster</v>
      </c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89"/>
      <c r="S59" s="189"/>
      <c r="T59">
        <v>55</v>
      </c>
      <c r="U59" s="113" t="str">
        <f>'Get Data -NSW(North)'!A56</f>
        <v>NSW (North)</v>
      </c>
      <c r="V59" s="113">
        <f>'Get Data -NSW(North)'!E56</f>
        <v>27564</v>
      </c>
      <c r="W59" s="113" t="str">
        <f>'Get Data -NSW(North)'!F56</f>
        <v>WORKWISE CLOTHING PTY LTD</v>
      </c>
      <c r="X59" s="244" t="str">
        <f>_xlfn.XLOOKUP(Table3[[#This Row],[Cust Code]],'Customer Details '!A:A,'Customer Details '!M:M," ",0)</f>
        <v>WORKWISE CLOTHING PTY LTD</v>
      </c>
      <c r="Y59" s="114">
        <f>_xlfn.XLOOKUP(Table3[[#This Row],[Cust Code]],' CVM'!C:C,' CVM'!H:H," ",0)</f>
        <v>46071</v>
      </c>
      <c r="Z59" s="115">
        <f>_xlfn.XLOOKUP(Table3[[#This Row],[Cust Code]],' CVM'!C:C,' CVM'!I:I," ",0)</f>
        <v>0</v>
      </c>
      <c r="AA59" s="115">
        <f>_xlfn.XLOOKUP(Table3[[#This Row],[Cust Code]],' CVM'!C:C,' CVM'!J:J," ",0)</f>
        <v>0</v>
      </c>
      <c r="AB59" s="89" t="s">
        <v>469</v>
      </c>
      <c r="AC59" s="232" t="s">
        <v>471</v>
      </c>
      <c r="AD59" s="232"/>
      <c r="AE59" s="230"/>
      <c r="AG59" s="234"/>
      <c r="AH59" s="235"/>
      <c r="AI59" s="235"/>
      <c r="AJ59" s="236"/>
      <c r="AL59" s="240"/>
      <c r="AM59" s="241"/>
      <c r="AN59" s="241"/>
      <c r="AO59" s="242"/>
    </row>
    <row r="60" spans="1:41">
      <c r="A60" s="188" t="str">
        <f>_xlfn.XLOOKUP($V60,'Customer Details '!$A:$A,'Customer Details '!F:F," ",0)</f>
        <v xml:space="preserve"> </v>
      </c>
      <c r="B60" s="188" t="str">
        <f>_xlfn.XLOOKUP($V60,'Customer Details '!$A:$A,'Customer Details '!G:G," ",0)</f>
        <v xml:space="preserve"> </v>
      </c>
      <c r="C60" s="188" t="str">
        <f>_xlfn.XLOOKUP($V60,'Customer Details '!$A:$A,'Customer Details '!H:H," ",0)</f>
        <v xml:space="preserve"> </v>
      </c>
      <c r="D60" s="188" t="str">
        <f>_xlfn.XLOOKUP($V60,'Customer Details '!$A:$A,'Customer Details '!I:I," ",0)</f>
        <v xml:space="preserve"> </v>
      </c>
      <c r="E60" s="188" t="str">
        <f>_xlfn.XLOOKUP($V60,'Customer Details '!$A:$A,'Customer Details '!J:J," ",0)</f>
        <v xml:space="preserve"> </v>
      </c>
      <c r="F60" s="188" t="str">
        <f>_xlfn.XLOOKUP($V60,'Customer Details '!$A:$A,'Customer Details '!K:K," ",0)</f>
        <v xml:space="preserve"> </v>
      </c>
      <c r="G60" s="188" t="str">
        <f>_xlfn.XLOOKUP($V60,'Customer Details '!$A:$A,'Customer Details '!L:L," ",0)</f>
        <v xml:space="preserve"> </v>
      </c>
      <c r="H60" s="189"/>
      <c r="I60" s="189"/>
      <c r="J60" s="189"/>
      <c r="K60" s="189"/>
      <c r="L60" s="189"/>
      <c r="M60" s="189"/>
      <c r="N60" s="189"/>
      <c r="O60" s="189"/>
      <c r="P60" s="189"/>
      <c r="Q60" s="189"/>
      <c r="R60" s="189"/>
      <c r="S60" s="189"/>
      <c r="T60">
        <v>56</v>
      </c>
      <c r="U60" s="113">
        <f>'Get Data -NSW(North)'!A57</f>
        <v>0</v>
      </c>
      <c r="V60" s="113">
        <f>'Get Data -NSW(North)'!E57</f>
        <v>0</v>
      </c>
      <c r="W60" s="113">
        <f>'Get Data -NSW(North)'!F57</f>
        <v>0</v>
      </c>
      <c r="X60" s="244" t="str">
        <f>_xlfn.XLOOKUP(Table3[[#This Row],[Cust Code]],'Customer Details '!A:A,'Customer Details '!M:M," ",0)</f>
        <v xml:space="preserve"> </v>
      </c>
      <c r="Y60" s="114" t="str">
        <f>_xlfn.XLOOKUP(Table3[[#This Row],[Cust Code]],' CVM'!C:C,' CVM'!H:H," ",0)</f>
        <v/>
      </c>
      <c r="Z60" s="115">
        <f>_xlfn.XLOOKUP(Table3[[#This Row],[Cust Code]],' CVM'!C:C,' CVM'!I:I," ",0)</f>
        <v>0</v>
      </c>
      <c r="AA60" s="115">
        <f>_xlfn.XLOOKUP(Table3[[#This Row],[Cust Code]],' CVM'!C:C,' CVM'!J:J," ",0)</f>
        <v>0</v>
      </c>
      <c r="AB60" s="89"/>
      <c r="AC60" s="232"/>
      <c r="AD60" s="232"/>
      <c r="AE60" s="230"/>
      <c r="AG60" s="234"/>
      <c r="AH60" s="235"/>
      <c r="AI60" s="235"/>
      <c r="AJ60" s="236"/>
      <c r="AL60" s="240"/>
      <c r="AM60" s="241"/>
      <c r="AN60" s="241"/>
      <c r="AO60" s="242"/>
    </row>
    <row r="61" spans="1:41">
      <c r="A61" s="188" t="str">
        <f>_xlfn.XLOOKUP($V61,'Customer Details '!$A:$A,'Customer Details '!F:F," ",0)</f>
        <v xml:space="preserve"> </v>
      </c>
      <c r="B61" s="188" t="str">
        <f>_xlfn.XLOOKUP($V61,'Customer Details '!$A:$A,'Customer Details '!G:G," ",0)</f>
        <v xml:space="preserve"> </v>
      </c>
      <c r="C61" s="188" t="str">
        <f>_xlfn.XLOOKUP($V61,'Customer Details '!$A:$A,'Customer Details '!H:H," ",0)</f>
        <v xml:space="preserve"> </v>
      </c>
      <c r="D61" s="188" t="str">
        <f>_xlfn.XLOOKUP($V61,'Customer Details '!$A:$A,'Customer Details '!I:I," ",0)</f>
        <v xml:space="preserve"> </v>
      </c>
      <c r="E61" s="188" t="str">
        <f>_xlfn.XLOOKUP($V61,'Customer Details '!$A:$A,'Customer Details '!J:J," ",0)</f>
        <v xml:space="preserve"> </v>
      </c>
      <c r="F61" s="188" t="str">
        <f>_xlfn.XLOOKUP($V61,'Customer Details '!$A:$A,'Customer Details '!K:K," ",0)</f>
        <v xml:space="preserve"> </v>
      </c>
      <c r="G61" s="188" t="str">
        <f>_xlfn.XLOOKUP($V61,'Customer Details '!$A:$A,'Customer Details '!L:L," ",0)</f>
        <v xml:space="preserve"> </v>
      </c>
      <c r="H61" s="189"/>
      <c r="I61" s="189"/>
      <c r="J61" s="189"/>
      <c r="K61" s="189"/>
      <c r="L61" s="189"/>
      <c r="M61" s="189"/>
      <c r="N61" s="189"/>
      <c r="O61" s="189"/>
      <c r="P61" s="189"/>
      <c r="Q61" s="189"/>
      <c r="R61" s="189"/>
      <c r="S61" s="189"/>
      <c r="T61">
        <v>57</v>
      </c>
      <c r="U61" s="113">
        <f>'Get Data -NSW(North)'!A58</f>
        <v>0</v>
      </c>
      <c r="V61" s="113">
        <f>'Get Data -NSW(North)'!E58</f>
        <v>0</v>
      </c>
      <c r="W61" s="113">
        <f>'Get Data -NSW(North)'!F58</f>
        <v>0</v>
      </c>
      <c r="X61" s="244" t="str">
        <f>_xlfn.XLOOKUP(Table3[[#This Row],[Cust Code]],'Customer Details '!A:A,'Customer Details '!M:M," ",0)</f>
        <v xml:space="preserve"> </v>
      </c>
      <c r="Y61" s="114" t="str">
        <f>_xlfn.XLOOKUP(Table3[[#This Row],[Cust Code]],' CVM'!C:C,' CVM'!H:H," ",0)</f>
        <v/>
      </c>
      <c r="Z61" s="115">
        <f>_xlfn.XLOOKUP(Table3[[#This Row],[Cust Code]],' CVM'!C:C,' CVM'!I:I," ",0)</f>
        <v>0</v>
      </c>
      <c r="AA61" s="115">
        <f>_xlfn.XLOOKUP(Table3[[#This Row],[Cust Code]],' CVM'!C:C,' CVM'!J:J," ",0)</f>
        <v>0</v>
      </c>
      <c r="AB61" s="89"/>
      <c r="AC61" s="232"/>
      <c r="AD61" s="232"/>
      <c r="AE61" s="230"/>
      <c r="AG61" s="234"/>
      <c r="AH61" s="235"/>
      <c r="AI61" s="235"/>
      <c r="AJ61" s="236"/>
      <c r="AL61" s="240"/>
      <c r="AM61" s="241"/>
      <c r="AN61" s="241"/>
      <c r="AO61" s="242"/>
    </row>
    <row r="62" spans="1:41">
      <c r="A62" s="188" t="str">
        <f>_xlfn.XLOOKUP($V62,'Customer Details '!$A:$A,'Customer Details '!F:F," ",0)</f>
        <v xml:space="preserve"> </v>
      </c>
      <c r="B62" s="188" t="str">
        <f>_xlfn.XLOOKUP($V62,'Customer Details '!$A:$A,'Customer Details '!G:G," ",0)</f>
        <v xml:space="preserve"> </v>
      </c>
      <c r="C62" s="188" t="str">
        <f>_xlfn.XLOOKUP($V62,'Customer Details '!$A:$A,'Customer Details '!H:H," ",0)</f>
        <v xml:space="preserve"> </v>
      </c>
      <c r="D62" s="188" t="str">
        <f>_xlfn.XLOOKUP($V62,'Customer Details '!$A:$A,'Customer Details '!I:I," ",0)</f>
        <v xml:space="preserve"> </v>
      </c>
      <c r="E62" s="188" t="str">
        <f>_xlfn.XLOOKUP($V62,'Customer Details '!$A:$A,'Customer Details '!J:J," ",0)</f>
        <v xml:space="preserve"> </v>
      </c>
      <c r="F62" s="188" t="str">
        <f>_xlfn.XLOOKUP($V62,'Customer Details '!$A:$A,'Customer Details '!K:K," ",0)</f>
        <v xml:space="preserve"> </v>
      </c>
      <c r="G62" s="188" t="str">
        <f>_xlfn.XLOOKUP($V62,'Customer Details '!$A:$A,'Customer Details '!L:L," ",0)</f>
        <v xml:space="preserve"> </v>
      </c>
      <c r="H62" s="189"/>
      <c r="I62" s="189"/>
      <c r="J62" s="189"/>
      <c r="K62" s="189"/>
      <c r="L62" s="189"/>
      <c r="M62" s="189"/>
      <c r="N62" s="189"/>
      <c r="O62" s="189"/>
      <c r="P62" s="189"/>
      <c r="Q62" s="189"/>
      <c r="R62" s="189"/>
      <c r="S62" s="189"/>
      <c r="T62">
        <v>58</v>
      </c>
      <c r="U62" s="113">
        <f>'Get Data -NSW(North)'!A59</f>
        <v>0</v>
      </c>
      <c r="V62" s="113">
        <f>'Get Data -NSW(North)'!E59</f>
        <v>0</v>
      </c>
      <c r="W62" s="113">
        <f>'Get Data -NSW(North)'!F59</f>
        <v>0</v>
      </c>
      <c r="X62" s="244" t="str">
        <f>_xlfn.XLOOKUP(Table3[[#This Row],[Cust Code]],'Customer Details '!A:A,'Customer Details '!M:M," ",0)</f>
        <v xml:space="preserve"> </v>
      </c>
      <c r="Y62" s="114" t="str">
        <f>_xlfn.XLOOKUP(Table3[[#This Row],[Cust Code]],' CVM'!C:C,' CVM'!H:H," ",0)</f>
        <v/>
      </c>
      <c r="Z62" s="115">
        <f>_xlfn.XLOOKUP(Table3[[#This Row],[Cust Code]],' CVM'!C:C,' CVM'!I:I," ",0)</f>
        <v>0</v>
      </c>
      <c r="AA62" s="115">
        <f>_xlfn.XLOOKUP(Table3[[#This Row],[Cust Code]],' CVM'!C:C,' CVM'!J:J," ",0)</f>
        <v>0</v>
      </c>
      <c r="AB62" s="89"/>
      <c r="AC62" s="232"/>
      <c r="AD62" s="232"/>
      <c r="AE62" s="230"/>
      <c r="AG62" s="234"/>
      <c r="AH62" s="235"/>
      <c r="AI62" s="235"/>
      <c r="AJ62" s="236"/>
      <c r="AL62" s="240"/>
      <c r="AM62" s="241"/>
      <c r="AN62" s="241"/>
      <c r="AO62" s="242"/>
    </row>
    <row r="63" spans="1:41">
      <c r="A63" s="188" t="str">
        <f>_xlfn.XLOOKUP($V63,'Customer Details '!$A:$A,'Customer Details '!F:F," ",0)</f>
        <v xml:space="preserve"> </v>
      </c>
      <c r="B63" s="188" t="str">
        <f>_xlfn.XLOOKUP($V63,'Customer Details '!$A:$A,'Customer Details '!G:G," ",0)</f>
        <v xml:space="preserve"> </v>
      </c>
      <c r="C63" s="188" t="str">
        <f>_xlfn.XLOOKUP($V63,'Customer Details '!$A:$A,'Customer Details '!H:H," ",0)</f>
        <v xml:space="preserve"> </v>
      </c>
      <c r="D63" s="188" t="str">
        <f>_xlfn.XLOOKUP($V63,'Customer Details '!$A:$A,'Customer Details '!I:I," ",0)</f>
        <v xml:space="preserve"> </v>
      </c>
      <c r="E63" s="188" t="str">
        <f>_xlfn.XLOOKUP($V63,'Customer Details '!$A:$A,'Customer Details '!J:J," ",0)</f>
        <v xml:space="preserve"> </v>
      </c>
      <c r="F63" s="188" t="str">
        <f>_xlfn.XLOOKUP($V63,'Customer Details '!$A:$A,'Customer Details '!K:K," ",0)</f>
        <v xml:space="preserve"> </v>
      </c>
      <c r="G63" s="188" t="str">
        <f>_xlfn.XLOOKUP($V63,'Customer Details '!$A:$A,'Customer Details '!L:L," ",0)</f>
        <v xml:space="preserve"> </v>
      </c>
      <c r="H63" s="189"/>
      <c r="I63" s="189"/>
      <c r="J63" s="189"/>
      <c r="K63" s="189"/>
      <c r="L63" s="189"/>
      <c r="M63" s="189"/>
      <c r="N63" s="189"/>
      <c r="O63" s="189"/>
      <c r="P63" s="189"/>
      <c r="Q63" s="189"/>
      <c r="R63" s="189"/>
      <c r="S63" s="189"/>
      <c r="T63">
        <v>59</v>
      </c>
      <c r="U63" s="113">
        <f>'Get Data -NSW(North)'!A60</f>
        <v>0</v>
      </c>
      <c r="V63" s="113">
        <f>'Get Data -NSW(North)'!E60</f>
        <v>0</v>
      </c>
      <c r="W63" s="113">
        <f>'Get Data -NSW(North)'!F60</f>
        <v>0</v>
      </c>
      <c r="X63" s="244" t="str">
        <f>_xlfn.XLOOKUP(Table3[[#This Row],[Cust Code]],'Customer Details '!A:A,'Customer Details '!M:M," ",0)</f>
        <v xml:space="preserve"> </v>
      </c>
      <c r="Y63" s="114" t="str">
        <f>_xlfn.XLOOKUP(Table3[[#This Row],[Cust Code]],' CVM'!C:C,' CVM'!H:H," ",0)</f>
        <v/>
      </c>
      <c r="Z63" s="115">
        <f>_xlfn.XLOOKUP(Table3[[#This Row],[Cust Code]],' CVM'!C:C,' CVM'!I:I," ",0)</f>
        <v>0</v>
      </c>
      <c r="AA63" s="115">
        <f>_xlfn.XLOOKUP(Table3[[#This Row],[Cust Code]],' CVM'!C:C,' CVM'!J:J," ",0)</f>
        <v>0</v>
      </c>
      <c r="AB63" s="89"/>
      <c r="AC63" s="232"/>
      <c r="AD63" s="232"/>
      <c r="AE63" s="230"/>
      <c r="AG63" s="234"/>
      <c r="AH63" s="235"/>
      <c r="AI63" s="235"/>
      <c r="AJ63" s="236"/>
      <c r="AL63" s="240"/>
      <c r="AM63" s="241"/>
      <c r="AN63" s="241"/>
      <c r="AO63" s="242"/>
    </row>
  </sheetData>
  <sheetProtection formatCells="0" sort="0" autoFilter="0"/>
  <mergeCells count="4">
    <mergeCell ref="H3:J3"/>
    <mergeCell ref="K3:M3"/>
    <mergeCell ref="N3:P3"/>
    <mergeCell ref="Q3:S3"/>
  </mergeCell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58DB6B9-BA75-4DCE-A4AF-B9D6B2F63EDD}">
          <x14:formula1>
            <xm:f>'Validation List'!$B$5:$B$7</xm:f>
          </x14:formula1>
          <xm:sqref>AH64:AH1048576 AM64:AM1048576 AC64:AC1048576</xm:sqref>
        </x14:dataValidation>
        <x14:dataValidation type="list" allowBlank="1" showInputMessage="1" showErrorMessage="1" xr:uid="{118112E3-93CC-43ED-9FB4-4322FCBFEF46}">
          <x14:formula1>
            <xm:f>'Validation List'!$A$4:$A$5</xm:f>
          </x14:formula1>
          <xm:sqref>AG64:AG1048576 AL64:AL1048576 AB64:AB1048576</xm:sqref>
        </x14:dataValidation>
        <x14:dataValidation type="list" allowBlank="1" showInputMessage="1" showErrorMessage="1" xr:uid="{DD14774F-E4C1-49A6-A2CE-A1E0C3E45053}">
          <x14:formula1>
            <xm:f>'Validation List'!$C$5:$C$8</xm:f>
          </x14:formula1>
          <xm:sqref>AD64:AD1048576 AI64:AI1048576 AN64:AN1048576</xm:sqref>
        </x14:dataValidation>
        <x14:dataValidation type="list" allowBlank="1" showInputMessage="1" showErrorMessage="1" xr:uid="{CA514123-31B4-4FEA-AC04-B313BB3AFBFD}">
          <x14:formula1>
            <xm:f>'Validation List'!$A$4:$A$7</xm:f>
          </x14:formula1>
          <xm:sqref>AL5:AL63 AG5:AG63 AB5:AB63</xm:sqref>
        </x14:dataValidation>
        <x14:dataValidation type="list" allowBlank="1" showInputMessage="1" showErrorMessage="1" xr:uid="{9DFD2C14-59A6-4CDD-897B-D5AAA57814C4}">
          <x14:formula1>
            <xm:f>'Validation List'!$B$4:$B$8</xm:f>
          </x14:formula1>
          <xm:sqref>AM5:AM63 AC5:AC63 AH5:AH34 AH36:AH63</xm:sqref>
        </x14:dataValidation>
        <x14:dataValidation type="list" allowBlank="1" showInputMessage="1" showErrorMessage="1" xr:uid="{10553341-9263-482B-9BE5-4777ADEA04AB}">
          <x14:formula1>
            <xm:f>'Validation List'!$C$4:$C$8</xm:f>
          </x14:formula1>
          <xm:sqref>AN5:AN63 AI5:AI63 AD5:AD22 AD24:AD26 AD28:AD30 AD32:AD35 AD37:AD42 AD44:AD51 AD53:AD63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4FB29-71C4-44A9-BDFF-0B470D29A918}">
  <sheetPr>
    <tabColor rgb="FFFFC000"/>
  </sheetPr>
  <dimension ref="A1:AH62"/>
  <sheetViews>
    <sheetView zoomScale="90" zoomScaleNormal="90" workbookViewId="0">
      <pane xSplit="6" ySplit="3" topLeftCell="G4" activePane="bottomRight" state="frozen"/>
      <selection pane="bottomRight" activeCell="Q6" sqref="Q6"/>
      <selection pane="bottomLeft" activeCell="A4" sqref="A4"/>
      <selection pane="topRight" activeCell="G1" sqref="G1"/>
    </sheetView>
  </sheetViews>
  <sheetFormatPr defaultColWidth="9.21875" defaultRowHeight="14.45"/>
  <cols>
    <col min="1" max="1" width="4.109375" style="117" customWidth="1"/>
    <col min="2" max="2" width="8.88671875" customWidth="1"/>
    <col min="3" max="3" width="5.88671875" customWidth="1"/>
    <col min="4" max="4" width="9.33203125" style="117" customWidth="1"/>
    <col min="5" max="5" width="47.88671875" hidden="1" customWidth="1"/>
    <col min="6" max="6" width="47.88671875" customWidth="1"/>
    <col min="7" max="7" width="16.77734375" customWidth="1"/>
    <col min="8" max="8" width="23.6640625" customWidth="1"/>
    <col min="9" max="10" width="10" style="112" customWidth="1"/>
    <col min="11" max="11" width="22.88671875" style="117" customWidth="1"/>
    <col min="12" max="12" width="10.5546875" style="117" customWidth="1"/>
    <col min="13" max="13" width="22.88671875" style="117" customWidth="1"/>
    <col min="14" max="14" width="10.5546875" style="117" customWidth="1"/>
    <col min="15" max="15" width="22.88671875" style="117" customWidth="1"/>
    <col min="16" max="16" width="10.5546875" style="117" customWidth="1"/>
    <col min="17" max="17" width="22.88671875" style="117" customWidth="1"/>
    <col min="18" max="18" width="10.5546875" style="117" customWidth="1"/>
    <col min="19" max="19" width="22.88671875" style="117" customWidth="1"/>
    <col min="20" max="20" width="10.5546875" style="117" customWidth="1"/>
    <col min="21" max="21" width="22.88671875" style="117" customWidth="1"/>
    <col min="22" max="22" width="10.5546875" style="117" customWidth="1"/>
    <col min="23" max="23" width="22.88671875" style="117" customWidth="1"/>
    <col min="24" max="24" width="10.5546875" style="117" customWidth="1"/>
    <col min="25" max="25" width="22.88671875" style="117" customWidth="1"/>
    <col min="26" max="26" width="10.5546875" style="117" customWidth="1"/>
    <col min="27" max="27" width="22.88671875" style="117" customWidth="1"/>
    <col min="28" max="28" width="10.5546875" style="117" customWidth="1"/>
    <col min="29" max="29" width="22.88671875" style="117" customWidth="1"/>
    <col min="30" max="30" width="10.5546875" style="117" customWidth="1"/>
    <col min="31" max="31" width="22.88671875" style="117" customWidth="1"/>
    <col min="32" max="32" width="10.5546875" style="117" customWidth="1"/>
    <col min="33" max="33" width="22.88671875" style="117" customWidth="1"/>
    <col min="34" max="34" width="10.5546875" style="117" customWidth="1"/>
    <col min="35" max="16384" width="9.21875" style="117"/>
  </cols>
  <sheetData>
    <row r="1" spans="1:34" s="116" customFormat="1" ht="43.5" customHeight="1" thickBot="1">
      <c r="A1" s="174"/>
      <c r="B1" s="173"/>
      <c r="C1" s="173"/>
      <c r="D1" s="174"/>
      <c r="E1" s="173"/>
      <c r="F1" s="173"/>
      <c r="G1" s="173"/>
      <c r="H1" s="173"/>
      <c r="I1" s="175"/>
      <c r="J1" s="175"/>
      <c r="K1" s="118" t="s">
        <v>508</v>
      </c>
      <c r="L1" s="118" t="s">
        <v>508</v>
      </c>
      <c r="M1" s="118" t="s">
        <v>509</v>
      </c>
      <c r="N1" s="118" t="s">
        <v>509</v>
      </c>
      <c r="O1" s="118" t="s">
        <v>510</v>
      </c>
      <c r="P1" s="118" t="s">
        <v>510</v>
      </c>
      <c r="Q1" s="118" t="s">
        <v>511</v>
      </c>
      <c r="R1" s="118" t="s">
        <v>511</v>
      </c>
      <c r="S1" s="118" t="s">
        <v>512</v>
      </c>
      <c r="T1" s="118" t="s">
        <v>512</v>
      </c>
      <c r="U1" s="118" t="s">
        <v>513</v>
      </c>
      <c r="V1" s="118" t="s">
        <v>513</v>
      </c>
      <c r="W1" s="118" t="s">
        <v>514</v>
      </c>
      <c r="X1" s="118" t="s">
        <v>514</v>
      </c>
      <c r="Y1" s="118" t="s">
        <v>515</v>
      </c>
      <c r="Z1" s="118" t="s">
        <v>515</v>
      </c>
      <c r="AA1" s="118" t="s">
        <v>516</v>
      </c>
      <c r="AB1" s="118" t="s">
        <v>516</v>
      </c>
      <c r="AC1" s="118" t="s">
        <v>517</v>
      </c>
      <c r="AD1" s="118" t="s">
        <v>517</v>
      </c>
      <c r="AE1" s="118" t="s">
        <v>518</v>
      </c>
      <c r="AF1" s="118" t="s">
        <v>518</v>
      </c>
      <c r="AG1" s="118" t="s">
        <v>519</v>
      </c>
      <c r="AH1" s="118" t="s">
        <v>519</v>
      </c>
    </row>
    <row r="2" spans="1:34" s="116" customFormat="1" ht="33.75" customHeight="1">
      <c r="A2" s="271" t="s">
        <v>480</v>
      </c>
      <c r="B2" s="271"/>
      <c r="C2" s="277"/>
      <c r="D2" s="272" t="s">
        <v>481</v>
      </c>
      <c r="E2" s="273"/>
      <c r="F2" s="274" t="s">
        <v>480</v>
      </c>
      <c r="G2" s="272" t="s">
        <v>481</v>
      </c>
      <c r="H2" s="275" t="s">
        <v>480</v>
      </c>
      <c r="I2" s="275"/>
      <c r="J2" s="276"/>
      <c r="K2" s="225" t="s">
        <v>520</v>
      </c>
      <c r="L2" s="226"/>
      <c r="M2" s="225" t="s">
        <v>520</v>
      </c>
      <c r="N2" s="118"/>
      <c r="O2" s="225" t="s">
        <v>520</v>
      </c>
      <c r="P2" s="118"/>
      <c r="Q2" s="225" t="s">
        <v>520</v>
      </c>
      <c r="R2" s="118"/>
      <c r="S2" s="225" t="s">
        <v>520</v>
      </c>
      <c r="T2" s="118"/>
      <c r="U2" s="225" t="s">
        <v>520</v>
      </c>
      <c r="V2" s="118"/>
      <c r="W2" s="225" t="s">
        <v>520</v>
      </c>
      <c r="X2" s="118"/>
      <c r="Y2" s="225" t="s">
        <v>520</v>
      </c>
      <c r="Z2" s="118"/>
      <c r="AA2" s="225" t="s">
        <v>520</v>
      </c>
      <c r="AB2" s="118"/>
      <c r="AC2" s="225" t="s">
        <v>520</v>
      </c>
      <c r="AD2" s="118"/>
      <c r="AE2" s="225" t="s">
        <v>520</v>
      </c>
      <c r="AF2" s="118"/>
      <c r="AG2" s="225" t="s">
        <v>520</v>
      </c>
      <c r="AH2" s="118"/>
    </row>
    <row r="3" spans="1:34" ht="38.25" customHeight="1">
      <c r="A3" s="245" t="s">
        <v>485</v>
      </c>
      <c r="B3" s="129" t="s">
        <v>486</v>
      </c>
      <c r="C3" s="176" t="s">
        <v>487</v>
      </c>
      <c r="D3" s="132" t="s">
        <v>521</v>
      </c>
      <c r="E3" s="121" t="s">
        <v>5</v>
      </c>
      <c r="F3" s="121" t="s">
        <v>119</v>
      </c>
      <c r="G3" s="121" t="s">
        <v>522</v>
      </c>
      <c r="H3" s="121" t="s">
        <v>523</v>
      </c>
      <c r="I3" s="132" t="s">
        <v>490</v>
      </c>
      <c r="J3" s="132" t="s">
        <v>491</v>
      </c>
      <c r="K3" s="128" t="s">
        <v>524</v>
      </c>
      <c r="L3" s="122" t="s">
        <v>525</v>
      </c>
      <c r="M3" s="128" t="s">
        <v>526</v>
      </c>
      <c r="N3" s="122" t="s">
        <v>527</v>
      </c>
      <c r="O3" s="128" t="s">
        <v>528</v>
      </c>
      <c r="P3" s="122" t="s">
        <v>529</v>
      </c>
      <c r="Q3" s="128" t="s">
        <v>530</v>
      </c>
      <c r="R3" s="122" t="s">
        <v>531</v>
      </c>
      <c r="S3" s="128" t="s">
        <v>532</v>
      </c>
      <c r="T3" s="122" t="s">
        <v>533</v>
      </c>
      <c r="U3" s="128" t="s">
        <v>534</v>
      </c>
      <c r="V3" s="122" t="s">
        <v>535</v>
      </c>
      <c r="W3" s="128" t="s">
        <v>536</v>
      </c>
      <c r="X3" s="122" t="s">
        <v>537</v>
      </c>
      <c r="Y3" s="128" t="s">
        <v>538</v>
      </c>
      <c r="Z3" s="122" t="s">
        <v>539</v>
      </c>
      <c r="AA3" s="128" t="s">
        <v>540</v>
      </c>
      <c r="AB3" s="122" t="s">
        <v>541</v>
      </c>
      <c r="AC3" s="128" t="s">
        <v>542</v>
      </c>
      <c r="AD3" s="122" t="s">
        <v>543</v>
      </c>
      <c r="AE3" s="128" t="s">
        <v>544</v>
      </c>
      <c r="AF3" s="122" t="s">
        <v>545</v>
      </c>
      <c r="AG3" s="128" t="s">
        <v>546</v>
      </c>
      <c r="AH3" s="123" t="s">
        <v>547</v>
      </c>
    </row>
    <row r="4" spans="1:34" ht="16.5">
      <c r="A4" s="117">
        <v>1</v>
      </c>
      <c r="B4" s="131" t="str">
        <f>Database!U5</f>
        <v>NSW (North)</v>
      </c>
      <c r="C4" s="131">
        <f>Database!V5</f>
        <v>29631</v>
      </c>
      <c r="D4" s="130" t="s">
        <v>548</v>
      </c>
      <c r="E4" s="127" t="str">
        <f>Database!W5</f>
        <v>ALSHAE PTY LTD T/AS MONOGRAM</v>
      </c>
      <c r="F4" s="220" t="str">
        <f>Database!X5</f>
        <v>MONOGRAM</v>
      </c>
      <c r="G4" s="220"/>
      <c r="H4" s="166">
        <f>_xlfn.LET(
 _xlpm.n,TRIM(SUBSTITUTE($C4,CHAR(160),"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46065</v>
      </c>
      <c r="I4" s="167" cm="1">
        <f t="array" ref="I4">_xlfn.LET(
  _xlpm.r, K4:AG4,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4" s="167">
        <f>COUNTIFS(' CVM'!$E$4:$E$62,$E4,' CVM'!$L$4:$L$62,TRUE)
+COUNTIFS(' CVM'!$E$4:$E$62,$E4,' CVM'!$N$4:$N$62,TRUE)
+COUNTIFS(' CVM'!$E$4:$E$62,$E4,' CVM'!$P$4:$P$62,TRUE)
+COUNTIFS(' CVM'!$E$4:$E$62,$E4,' CVM'!$R$4:$R$62,TRUE)
+COUNTIFS(' CVM'!$E$4:$E$62,$E4,' CVM'!$T$4:$T$62,TRUE)
+COUNTIFS(' CVM'!$E$4:$E$62,$E4,' CVM'!$V$4:$V$62,TRUE)
+COUNTIFS(' CVM'!$E$4:$E$62,$E4,' CVM'!$X$4:$X$62,TRUE)
+COUNTIFS(' CVM'!$E$4:$E$62,$E4,' CVM'!$Z$4:$Z$62,TRUE)
+COUNTIFS(' CVM'!$E$4:$E$62,$E4,' CVM'!$AB$4:$AB$62,TRUE)
+COUNTIFS(' CVM'!$E$4:$E$62,$E4,' CVM'!$AD$4:$AD$62,TRUE)
+COUNTIFS(' CVM'!$E$4:$E$62,$E4,' CVM'!$AF$4:$AF$62,TRUE)
+COUNTIFS(' CVM'!$E$4:$E$62,$E4,' CVM'!$AH$4:$AH$62,TRUE)</f>
        <v>1</v>
      </c>
      <c r="K4" s="119"/>
      <c r="L4" s="120" t="b">
        <v>0</v>
      </c>
      <c r="M4" s="119">
        <v>46065</v>
      </c>
      <c r="N4" s="120" t="b">
        <v>1</v>
      </c>
      <c r="O4" s="124"/>
      <c r="P4" s="125" t="b">
        <v>0</v>
      </c>
      <c r="Q4" s="124"/>
      <c r="R4" s="125" t="b">
        <v>0</v>
      </c>
      <c r="S4" s="124"/>
      <c r="T4" s="125" t="b">
        <v>0</v>
      </c>
      <c r="U4" s="124"/>
      <c r="V4" s="125" t="b">
        <v>0</v>
      </c>
      <c r="W4" s="124"/>
      <c r="X4" s="125" t="b">
        <v>0</v>
      </c>
      <c r="Y4" s="124"/>
      <c r="Z4" s="125" t="b">
        <v>0</v>
      </c>
      <c r="AA4" s="124"/>
      <c r="AB4" s="125" t="b">
        <v>0</v>
      </c>
      <c r="AC4" s="124"/>
      <c r="AD4" s="125" t="b">
        <v>0</v>
      </c>
      <c r="AE4" s="124"/>
      <c r="AF4" s="125" t="b">
        <v>0</v>
      </c>
      <c r="AG4" s="124"/>
      <c r="AH4" s="126" t="b">
        <v>0</v>
      </c>
    </row>
    <row r="5" spans="1:34" ht="16.5">
      <c r="A5" s="117">
        <v>2</v>
      </c>
      <c r="B5" s="131" t="str">
        <f>Database!U6</f>
        <v>NSW (North)</v>
      </c>
      <c r="C5" s="131">
        <f>Database!V6</f>
        <v>25784</v>
      </c>
      <c r="D5" s="130" t="s">
        <v>548</v>
      </c>
      <c r="E5" s="127" t="str">
        <f>Database!W6</f>
        <v>BJ'S WORKWEAR NEWCASTLE PTY LTD</v>
      </c>
      <c r="F5" s="220" t="str">
        <f>Database!X6</f>
        <v>BJ'S WORKWEAR NEWCASTLE PTY LTD</v>
      </c>
      <c r="G5" s="220"/>
      <c r="H5" s="166">
        <f>_xlfn.LET(
 _xlpm.n,TRIM(SUBSTITUTE($C5,CHAR(160),"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46066</v>
      </c>
      <c r="I5" s="167" cm="1">
        <f t="array" ref="I5">_xlfn.LET(
  _xlpm.r, K5:AG5,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5" s="167">
        <f>COUNTIFS(' CVM'!$E$4:$E$62,$E5,' CVM'!$L$4:$L$62,TRUE)
+COUNTIFS(' CVM'!$E$4:$E$62,$E5,' CVM'!$N$4:$N$62,TRUE)
+COUNTIFS(' CVM'!$E$4:$E$62,$E5,' CVM'!$P$4:$P$62,TRUE)
+COUNTIFS(' CVM'!$E$4:$E$62,$E5,' CVM'!$R$4:$R$62,TRUE)
+COUNTIFS(' CVM'!$E$4:$E$62,$E5,' CVM'!$T$4:$T$62,TRUE)
+COUNTIFS(' CVM'!$E$4:$E$62,$E5,' CVM'!$V$4:$V$62,TRUE)
+COUNTIFS(' CVM'!$E$4:$E$62,$E5,' CVM'!$X$4:$X$62,TRUE)
+COUNTIFS(' CVM'!$E$4:$E$62,$E5,' CVM'!$Z$4:$Z$62,TRUE)
+COUNTIFS(' CVM'!$E$4:$E$62,$E5,' CVM'!$AB$4:$AB$62,TRUE)
+COUNTIFS(' CVM'!$E$4:$E$62,$E5,' CVM'!$AD$4:$AD$62,TRUE)
+COUNTIFS(' CVM'!$E$4:$E$62,$E5,' CVM'!$AF$4:$AF$62,TRUE)
+COUNTIFS(' CVM'!$E$4:$E$62,$E5,' CVM'!$AH$4:$AH$62,TRUE)</f>
        <v>1</v>
      </c>
      <c r="K5" s="119"/>
      <c r="L5" s="120" t="b">
        <v>0</v>
      </c>
      <c r="M5" s="119">
        <v>46066</v>
      </c>
      <c r="N5" s="120" t="b">
        <v>1</v>
      </c>
      <c r="O5" s="124"/>
      <c r="P5" s="125" t="b">
        <v>0</v>
      </c>
      <c r="Q5" s="124"/>
      <c r="R5" s="125" t="b">
        <v>0</v>
      </c>
      <c r="S5" s="124"/>
      <c r="T5" s="125" t="b">
        <v>0</v>
      </c>
      <c r="U5" s="124"/>
      <c r="V5" s="125" t="b">
        <v>0</v>
      </c>
      <c r="W5" s="124"/>
      <c r="X5" s="125" t="b">
        <v>0</v>
      </c>
      <c r="Y5" s="124"/>
      <c r="Z5" s="125" t="b">
        <v>0</v>
      </c>
      <c r="AA5" s="124"/>
      <c r="AB5" s="125" t="b">
        <v>0</v>
      </c>
      <c r="AC5" s="124"/>
      <c r="AD5" s="125" t="b">
        <v>0</v>
      </c>
      <c r="AE5" s="124"/>
      <c r="AF5" s="125" t="b">
        <v>0</v>
      </c>
      <c r="AG5" s="124"/>
      <c r="AH5" s="126" t="b">
        <v>0</v>
      </c>
    </row>
    <row r="6" spans="1:34" ht="16.5">
      <c r="A6" s="117">
        <v>3</v>
      </c>
      <c r="B6" s="131" t="str">
        <f>Database!U7</f>
        <v>NSW (North)</v>
      </c>
      <c r="C6" s="131">
        <f>Database!V7</f>
        <v>27358</v>
      </c>
      <c r="D6" s="130" t="s">
        <v>549</v>
      </c>
      <c r="E6" s="127" t="str">
        <f>Database!W7</f>
        <v>BJ'S WORKWEAR PTY LTD (SINGLETON)</v>
      </c>
      <c r="F6" s="220" t="str">
        <f>Database!X7</f>
        <v>BJ'S WORKWEAR</v>
      </c>
      <c r="G6" s="220"/>
      <c r="H6" s="166">
        <v>46059</v>
      </c>
      <c r="I6" s="167" cm="1">
        <f t="array" ref="I6">_xlfn.LET(
  _xlpm.r, K6:AG6,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6" s="167">
        <f>COUNTIFS(' CVM'!$E$4:$E$62,$E6,' CVM'!$L$4:$L$62,TRUE)
+COUNTIFS(' CVM'!$E$4:$E$62,$E6,' CVM'!$N$4:$N$62,TRUE)
+COUNTIFS(' CVM'!$E$4:$E$62,$E6,' CVM'!$P$4:$P$62,TRUE)
+COUNTIFS(' CVM'!$E$4:$E$62,$E6,' CVM'!$R$4:$R$62,TRUE)
+COUNTIFS(' CVM'!$E$4:$E$62,$E6,' CVM'!$T$4:$T$62,TRUE)
+COUNTIFS(' CVM'!$E$4:$E$62,$E6,' CVM'!$V$4:$V$62,TRUE)
+COUNTIFS(' CVM'!$E$4:$E$62,$E6,' CVM'!$X$4:$X$62,TRUE)
+COUNTIFS(' CVM'!$E$4:$E$62,$E6,' CVM'!$Z$4:$Z$62,TRUE)
+COUNTIFS(' CVM'!$E$4:$E$62,$E6,' CVM'!$AB$4:$AB$62,TRUE)
+COUNTIFS(' CVM'!$E$4:$E$62,$E6,' CVM'!$AD$4:$AD$62,TRUE)
+COUNTIFS(' CVM'!$E$4:$E$62,$E6,' CVM'!$AF$4:$AF$62,TRUE)
+COUNTIFS(' CVM'!$E$4:$E$62,$E6,' CVM'!$AH$4:$AH$62,TRUE)</f>
        <v>1</v>
      </c>
      <c r="K6" s="119"/>
      <c r="L6" s="120" t="b">
        <v>0</v>
      </c>
      <c r="M6" s="119">
        <v>46066</v>
      </c>
      <c r="N6" s="120" t="b">
        <v>1</v>
      </c>
      <c r="O6" s="124"/>
      <c r="P6" s="125" t="b">
        <v>0</v>
      </c>
      <c r="Q6" s="124"/>
      <c r="R6" s="125" t="b">
        <v>0</v>
      </c>
      <c r="S6" s="124"/>
      <c r="T6" s="125" t="b">
        <v>0</v>
      </c>
      <c r="U6" s="124"/>
      <c r="V6" s="125" t="b">
        <v>0</v>
      </c>
      <c r="W6" s="124"/>
      <c r="X6" s="125" t="b">
        <v>0</v>
      </c>
      <c r="Y6" s="124"/>
      <c r="Z6" s="125" t="b">
        <v>0</v>
      </c>
      <c r="AA6" s="124"/>
      <c r="AB6" s="125" t="b">
        <v>0</v>
      </c>
      <c r="AC6" s="124"/>
      <c r="AD6" s="125" t="b">
        <v>0</v>
      </c>
      <c r="AE6" s="124"/>
      <c r="AF6" s="125" t="b">
        <v>0</v>
      </c>
      <c r="AG6" s="124"/>
      <c r="AH6" s="126" t="b">
        <v>0</v>
      </c>
    </row>
    <row r="7" spans="1:34" ht="16.5">
      <c r="A7" s="117">
        <v>4</v>
      </c>
      <c r="B7" s="131" t="str">
        <f>Database!U8</f>
        <v>NSW (North)</v>
      </c>
      <c r="C7" s="131">
        <f>Database!V8</f>
        <v>27359</v>
      </c>
      <c r="D7" s="130" t="s">
        <v>549</v>
      </c>
      <c r="E7" s="127" t="str">
        <f>Database!W8</f>
        <v>BJ'S WORKWEAR PTY LTD (THORNTON)</v>
      </c>
      <c r="F7" s="220" t="str">
        <f>Database!X8</f>
        <v>BJ'S WORKWEAR PTY LTD</v>
      </c>
      <c r="G7" s="220"/>
      <c r="H7" s="166">
        <v>46066</v>
      </c>
      <c r="I7" s="167" cm="1">
        <f t="array" ref="I7">_xlfn.LET(
  _xlpm.r, K7:AG7,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7" s="167">
        <f>COUNTIFS(' CVM'!$E$4:$E$62,$E7,' CVM'!$L$4:$L$62,TRUE)
+COUNTIFS(' CVM'!$E$4:$E$62,$E7,' CVM'!$N$4:$N$62,TRUE)
+COUNTIFS(' CVM'!$E$4:$E$62,$E7,' CVM'!$P$4:$P$62,TRUE)
+COUNTIFS(' CVM'!$E$4:$E$62,$E7,' CVM'!$R$4:$R$62,TRUE)
+COUNTIFS(' CVM'!$E$4:$E$62,$E7,' CVM'!$T$4:$T$62,TRUE)
+COUNTIFS(' CVM'!$E$4:$E$62,$E7,' CVM'!$V$4:$V$62,TRUE)
+COUNTIFS(' CVM'!$E$4:$E$62,$E7,' CVM'!$X$4:$X$62,TRUE)
+COUNTIFS(' CVM'!$E$4:$E$62,$E7,' CVM'!$Z$4:$Z$62,TRUE)
+COUNTIFS(' CVM'!$E$4:$E$62,$E7,' CVM'!$AB$4:$AB$62,TRUE)
+COUNTIFS(' CVM'!$E$4:$E$62,$E7,' CVM'!$AD$4:$AD$62,TRUE)
+COUNTIFS(' CVM'!$E$4:$E$62,$E7,' CVM'!$AF$4:$AF$62,TRUE)
+COUNTIFS(' CVM'!$E$4:$E$62,$E7,' CVM'!$AH$4:$AH$62,TRUE)</f>
        <v>1</v>
      </c>
      <c r="K7" s="119"/>
      <c r="L7" s="120" t="b">
        <v>0</v>
      </c>
      <c r="M7" s="119">
        <v>46066</v>
      </c>
      <c r="N7" s="120" t="b">
        <v>1</v>
      </c>
      <c r="O7" s="124"/>
      <c r="P7" s="125" t="b">
        <v>0</v>
      </c>
      <c r="Q7" s="124"/>
      <c r="R7" s="125" t="b">
        <v>0</v>
      </c>
      <c r="S7" s="124"/>
      <c r="T7" s="125" t="b">
        <v>0</v>
      </c>
      <c r="U7" s="124"/>
      <c r="V7" s="125" t="b">
        <v>0</v>
      </c>
      <c r="W7" s="124"/>
      <c r="X7" s="125" t="b">
        <v>0</v>
      </c>
      <c r="Y7" s="124"/>
      <c r="Z7" s="125" t="b">
        <v>0</v>
      </c>
      <c r="AA7" s="124"/>
      <c r="AB7" s="125" t="b">
        <v>0</v>
      </c>
      <c r="AC7" s="124"/>
      <c r="AD7" s="125" t="b">
        <v>0</v>
      </c>
      <c r="AE7" s="124"/>
      <c r="AF7" s="125" t="b">
        <v>0</v>
      </c>
      <c r="AG7" s="124"/>
      <c r="AH7" s="126" t="b">
        <v>0</v>
      </c>
    </row>
    <row r="8" spans="1:34" ht="16.5">
      <c r="A8" s="117">
        <v>5</v>
      </c>
      <c r="B8" s="131" t="str">
        <f>Database!U9</f>
        <v>NSW (North)</v>
      </c>
      <c r="C8" s="131">
        <f>Database!V9</f>
        <v>29368</v>
      </c>
      <c r="D8" s="130" t="s">
        <v>548</v>
      </c>
      <c r="E8" s="127" t="str">
        <f>Database!W9</f>
        <v>BLOWES CLOTHING</v>
      </c>
      <c r="F8" s="220" t="str">
        <f>Database!X9</f>
        <v>BLOWES CLOTHING</v>
      </c>
      <c r="G8" s="220"/>
      <c r="H8" s="166">
        <f>_xlfn.LET(
 _xlpm.n,TRIM(SUBSTITUTE($C8,CHAR(160),"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46062</v>
      </c>
      <c r="I8" s="167" cm="1">
        <f t="array" ref="I8">_xlfn.LET(
  _xlpm.r, K8:AG8,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8" s="167">
        <f>COUNTIFS(' CVM'!$E$4:$E$62,$E8,' CVM'!$L$4:$L$62,TRUE)
+COUNTIFS(' CVM'!$E$4:$E$62,$E8,' CVM'!$N$4:$N$62,TRUE)
+COUNTIFS(' CVM'!$E$4:$E$62,$E8,' CVM'!$P$4:$P$62,TRUE)
+COUNTIFS(' CVM'!$E$4:$E$62,$E8,' CVM'!$R$4:$R$62,TRUE)
+COUNTIFS(' CVM'!$E$4:$E$62,$E8,' CVM'!$T$4:$T$62,TRUE)
+COUNTIFS(' CVM'!$E$4:$E$62,$E8,' CVM'!$V$4:$V$62,TRUE)
+COUNTIFS(' CVM'!$E$4:$E$62,$E8,' CVM'!$X$4:$X$62,TRUE)
+COUNTIFS(' CVM'!$E$4:$E$62,$E8,' CVM'!$Z$4:$Z$62,TRUE)
+COUNTIFS(' CVM'!$E$4:$E$62,$E8,' CVM'!$AB$4:$AB$62,TRUE)
+COUNTIFS(' CVM'!$E$4:$E$62,$E8,' CVM'!$AD$4:$AD$62,TRUE)
+COUNTIFS(' CVM'!$E$4:$E$62,$E8,' CVM'!$AF$4:$AF$62,TRUE)
+COUNTIFS(' CVM'!$E$4:$E$62,$E8,' CVM'!$AH$4:$AH$62,TRUE)</f>
        <v>1</v>
      </c>
      <c r="K8" s="119"/>
      <c r="L8" s="120" t="b">
        <v>0</v>
      </c>
      <c r="M8" s="119">
        <v>46062</v>
      </c>
      <c r="N8" s="120" t="b">
        <v>1</v>
      </c>
      <c r="O8" s="124"/>
      <c r="P8" s="125" t="b">
        <v>0</v>
      </c>
      <c r="Q8" s="124"/>
      <c r="R8" s="125" t="b">
        <v>0</v>
      </c>
      <c r="S8" s="124"/>
      <c r="T8" s="125" t="b">
        <v>0</v>
      </c>
      <c r="U8" s="124"/>
      <c r="V8" s="125" t="b">
        <v>0</v>
      </c>
      <c r="W8" s="124"/>
      <c r="X8" s="125" t="b">
        <v>0</v>
      </c>
      <c r="Y8" s="124"/>
      <c r="Z8" s="125" t="b">
        <v>0</v>
      </c>
      <c r="AA8" s="124"/>
      <c r="AB8" s="125" t="b">
        <v>0</v>
      </c>
      <c r="AC8" s="124"/>
      <c r="AD8" s="125" t="b">
        <v>0</v>
      </c>
      <c r="AE8" s="124"/>
      <c r="AF8" s="125" t="b">
        <v>0</v>
      </c>
      <c r="AG8" s="124"/>
      <c r="AH8" s="126" t="b">
        <v>0</v>
      </c>
    </row>
    <row r="9" spans="1:34" ht="16.5">
      <c r="A9" s="117">
        <v>6</v>
      </c>
      <c r="B9" s="131" t="str">
        <f>Database!U10</f>
        <v>NSW (North)</v>
      </c>
      <c r="C9" s="131">
        <f>Database!V10</f>
        <v>29947</v>
      </c>
      <c r="D9" s="130" t="s">
        <v>550</v>
      </c>
      <c r="E9" s="127" t="str">
        <f>Database!W10</f>
        <v>C.M JONES &amp; D.L JONES t/as (HP WW Central Coast)</v>
      </c>
      <c r="F9" s="220" t="str">
        <f>Database!X10</f>
        <v>HIP POCKET WORKWEAR &amp; SAFETY CENTRAL COAST</v>
      </c>
      <c r="G9" s="220"/>
      <c r="H9" s="166">
        <f>_xlfn.LET(
 _xlpm.n,TRIM(SUBSTITUTE($C9,CHAR(160),"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46062</v>
      </c>
      <c r="I9" s="167" cm="1">
        <f t="array" ref="I9">_xlfn.LET(
  _xlpm.r, K9:AG9,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9" s="167">
        <f>COUNTIFS(' CVM'!$E$4:$E$62,$E9,' CVM'!$L$4:$L$62,TRUE)
+COUNTIFS(' CVM'!$E$4:$E$62,$E9,' CVM'!$N$4:$N$62,TRUE)
+COUNTIFS(' CVM'!$E$4:$E$62,$E9,' CVM'!$P$4:$P$62,TRUE)
+COUNTIFS(' CVM'!$E$4:$E$62,$E9,' CVM'!$R$4:$R$62,TRUE)
+COUNTIFS(' CVM'!$E$4:$E$62,$E9,' CVM'!$T$4:$T$62,TRUE)
+COUNTIFS(' CVM'!$E$4:$E$62,$E9,' CVM'!$V$4:$V$62,TRUE)
+COUNTIFS(' CVM'!$E$4:$E$62,$E9,' CVM'!$X$4:$X$62,TRUE)
+COUNTIFS(' CVM'!$E$4:$E$62,$E9,' CVM'!$Z$4:$Z$62,TRUE)
+COUNTIFS(' CVM'!$E$4:$E$62,$E9,' CVM'!$AB$4:$AB$62,TRUE)
+COUNTIFS(' CVM'!$E$4:$E$62,$E9,' CVM'!$AD$4:$AD$62,TRUE)
+COUNTIFS(' CVM'!$E$4:$E$62,$E9,' CVM'!$AF$4:$AF$62,TRUE)
+COUNTIFS(' CVM'!$E$4:$E$62,$E9,' CVM'!$AH$4:$AH$62,TRUE)</f>
        <v>1</v>
      </c>
      <c r="K9" s="119"/>
      <c r="L9" s="120" t="b">
        <v>0</v>
      </c>
      <c r="M9" s="119">
        <v>46062</v>
      </c>
      <c r="N9" s="120" t="b">
        <v>1</v>
      </c>
      <c r="O9" s="124"/>
      <c r="P9" s="125" t="b">
        <v>0</v>
      </c>
      <c r="Q9" s="124"/>
      <c r="R9" s="125" t="b">
        <v>0</v>
      </c>
      <c r="S9" s="124"/>
      <c r="T9" s="125" t="b">
        <v>0</v>
      </c>
      <c r="U9" s="124"/>
      <c r="V9" s="125" t="b">
        <v>0</v>
      </c>
      <c r="W9" s="124"/>
      <c r="X9" s="125" t="b">
        <v>0</v>
      </c>
      <c r="Y9" s="124"/>
      <c r="Z9" s="125" t="b">
        <v>0</v>
      </c>
      <c r="AA9" s="124"/>
      <c r="AB9" s="125" t="b">
        <v>0</v>
      </c>
      <c r="AC9" s="124"/>
      <c r="AD9" s="125" t="b">
        <v>0</v>
      </c>
      <c r="AE9" s="124"/>
      <c r="AF9" s="125" t="b">
        <v>0</v>
      </c>
      <c r="AG9" s="124"/>
      <c r="AH9" s="126" t="b">
        <v>0</v>
      </c>
    </row>
    <row r="10" spans="1:34" ht="16.5">
      <c r="A10" s="117">
        <v>7</v>
      </c>
      <c r="B10" s="131" t="str">
        <f>Database!U11</f>
        <v>NSW (North)</v>
      </c>
      <c r="C10" s="131">
        <f>Database!V11</f>
        <v>29649</v>
      </c>
      <c r="D10" s="130" t="s">
        <v>548</v>
      </c>
      <c r="E10" s="127" t="str">
        <f>Database!W11</f>
        <v>CAILANA P/L  t/as NEW ENGLAND WORKWEAR</v>
      </c>
      <c r="F10" s="220" t="str">
        <f>Database!X11</f>
        <v>NEW ENGLAND WORKWEAR &amp; SAFETY</v>
      </c>
      <c r="G10" s="220"/>
      <c r="H10" s="166">
        <f>_xlfn.LET(
 _xlpm.n,TRIM(SUBSTITUTE($C10,CHAR(160),"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46065</v>
      </c>
      <c r="I10" s="167" cm="1">
        <f t="array" ref="I10">_xlfn.LET(
  _xlpm.r, K10:AG10,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10" s="167">
        <f>COUNTIFS(' CVM'!$E$4:$E$62,$E10,' CVM'!$L$4:$L$62,TRUE)
+COUNTIFS(' CVM'!$E$4:$E$62,$E10,' CVM'!$N$4:$N$62,TRUE)
+COUNTIFS(' CVM'!$E$4:$E$62,$E10,' CVM'!$P$4:$P$62,TRUE)
+COUNTIFS(' CVM'!$E$4:$E$62,$E10,' CVM'!$R$4:$R$62,TRUE)
+COUNTIFS(' CVM'!$E$4:$E$62,$E10,' CVM'!$T$4:$T$62,TRUE)
+COUNTIFS(' CVM'!$E$4:$E$62,$E10,' CVM'!$V$4:$V$62,TRUE)
+COUNTIFS(' CVM'!$E$4:$E$62,$E10,' CVM'!$X$4:$X$62,TRUE)
+COUNTIFS(' CVM'!$E$4:$E$62,$E10,' CVM'!$Z$4:$Z$62,TRUE)
+COUNTIFS(' CVM'!$E$4:$E$62,$E10,' CVM'!$AB$4:$AB$62,TRUE)
+COUNTIFS(' CVM'!$E$4:$E$62,$E10,' CVM'!$AD$4:$AD$62,TRUE)
+COUNTIFS(' CVM'!$E$4:$E$62,$E10,' CVM'!$AF$4:$AF$62,TRUE)
+COUNTIFS(' CVM'!$E$4:$E$62,$E10,' CVM'!$AH$4:$AH$62,TRUE)</f>
        <v>1</v>
      </c>
      <c r="K10" s="124"/>
      <c r="L10" s="125" t="b">
        <v>0</v>
      </c>
      <c r="M10" s="119">
        <v>46065</v>
      </c>
      <c r="N10" s="125" t="b">
        <v>1</v>
      </c>
      <c r="O10" s="124"/>
      <c r="P10" s="125" t="b">
        <v>0</v>
      </c>
      <c r="Q10" s="124"/>
      <c r="R10" s="125" t="b">
        <v>0</v>
      </c>
      <c r="S10" s="124"/>
      <c r="T10" s="125" t="b">
        <v>0</v>
      </c>
      <c r="U10" s="124"/>
      <c r="V10" s="125" t="b">
        <v>0</v>
      </c>
      <c r="W10" s="124"/>
      <c r="X10" s="125" t="b">
        <v>0</v>
      </c>
      <c r="Y10" s="124"/>
      <c r="Z10" s="125" t="b">
        <v>0</v>
      </c>
      <c r="AA10" s="124"/>
      <c r="AB10" s="125" t="b">
        <v>0</v>
      </c>
      <c r="AC10" s="124"/>
      <c r="AD10" s="125" t="b">
        <v>0</v>
      </c>
      <c r="AE10" s="124"/>
      <c r="AF10" s="125" t="b">
        <v>0</v>
      </c>
      <c r="AG10" s="124"/>
      <c r="AH10" s="126" t="b">
        <v>0</v>
      </c>
    </row>
    <row r="11" spans="1:34" ht="16.5">
      <c r="A11" s="117">
        <v>8</v>
      </c>
      <c r="B11" s="131" t="str">
        <f>Database!U12</f>
        <v>NSW (North)</v>
      </c>
      <c r="C11" s="131">
        <f>Database!V12</f>
        <v>28791</v>
      </c>
      <c r="D11" s="130" t="s">
        <v>551</v>
      </c>
      <c r="E11" s="127" t="str">
        <f>Database!W12</f>
        <v>CASA CAVACO PTY LTD t/as PORT MACQUARIE WORKWEAR</v>
      </c>
      <c r="F11" s="220" t="str">
        <f>Database!X12</f>
        <v>PORT MACQUARIE WORKWEAR</v>
      </c>
      <c r="G11" s="220"/>
      <c r="H11" s="166">
        <v>46073</v>
      </c>
      <c r="I11" s="167" cm="1">
        <f t="array" ref="I11">_xlfn.LET(
  _xlpm.r, K11:AG11,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11" s="167">
        <f>COUNTIFS(' CVM'!$E$4:$E$62,$E11,' CVM'!$L$4:$L$62,TRUE)
+COUNTIFS(' CVM'!$E$4:$E$62,$E11,' CVM'!$N$4:$N$62,TRUE)
+COUNTIFS(' CVM'!$E$4:$E$62,$E11,' CVM'!$P$4:$P$62,TRUE)
+COUNTIFS(' CVM'!$E$4:$E$62,$E11,' CVM'!$R$4:$R$62,TRUE)
+COUNTIFS(' CVM'!$E$4:$E$62,$E11,' CVM'!$T$4:$T$62,TRUE)
+COUNTIFS(' CVM'!$E$4:$E$62,$E11,' CVM'!$V$4:$V$62,TRUE)
+COUNTIFS(' CVM'!$E$4:$E$62,$E11,' CVM'!$X$4:$X$62,TRUE)
+COUNTIFS(' CVM'!$E$4:$E$62,$E11,' CVM'!$Z$4:$Z$62,TRUE)
+COUNTIFS(' CVM'!$E$4:$E$62,$E11,' CVM'!$AB$4:$AB$62,TRUE)
+COUNTIFS(' CVM'!$E$4:$E$62,$E11,' CVM'!$AD$4:$AD$62,TRUE)
+COUNTIFS(' CVM'!$E$4:$E$62,$E11,' CVM'!$AF$4:$AF$62,TRUE)
+COUNTIFS(' CVM'!$E$4:$E$62,$E11,' CVM'!$AH$4:$AH$62,TRUE)</f>
        <v>0</v>
      </c>
      <c r="K11" s="124"/>
      <c r="L11" s="125" t="b">
        <v>0</v>
      </c>
      <c r="M11" s="119"/>
      <c r="N11" s="125" t="b">
        <v>0</v>
      </c>
      <c r="O11" s="124"/>
      <c r="P11" s="125" t="b">
        <v>0</v>
      </c>
      <c r="Q11" s="124"/>
      <c r="R11" s="125" t="b">
        <v>0</v>
      </c>
      <c r="S11" s="124"/>
      <c r="T11" s="125" t="b">
        <v>0</v>
      </c>
      <c r="U11" s="124"/>
      <c r="V11" s="125" t="b">
        <v>0</v>
      </c>
      <c r="W11" s="124"/>
      <c r="X11" s="125" t="b">
        <v>0</v>
      </c>
      <c r="Y11" s="124"/>
      <c r="Z11" s="125" t="b">
        <v>0</v>
      </c>
      <c r="AA11" s="124"/>
      <c r="AB11" s="125" t="b">
        <v>0</v>
      </c>
      <c r="AC11" s="124"/>
      <c r="AD11" s="125" t="b">
        <v>0</v>
      </c>
      <c r="AE11" s="124"/>
      <c r="AF11" s="125" t="b">
        <v>0</v>
      </c>
      <c r="AG11" s="124"/>
      <c r="AH11" s="126" t="b">
        <v>0</v>
      </c>
    </row>
    <row r="12" spans="1:34" ht="16.5">
      <c r="A12" s="117">
        <v>9</v>
      </c>
      <c r="B12" s="131" t="str">
        <f>Database!U13</f>
        <v>NSW (North)</v>
      </c>
      <c r="C12" s="131">
        <f>Database!V13</f>
        <v>28675</v>
      </c>
      <c r="D12" s="130" t="s">
        <v>551</v>
      </c>
      <c r="E12" s="127" t="str">
        <f>Database!W13</f>
        <v>COFFS HARBOUR DISPOSALS</v>
      </c>
      <c r="F12" s="220" t="str">
        <f>Database!X13</f>
        <v>COFFS HARBOUR DISPOSALS</v>
      </c>
      <c r="G12" s="220"/>
      <c r="H12" s="166" t="str">
        <f>_xlfn.LET(
 _xlpm.n,TRIM(SUBSTITUTE($C12,CHAR(160),"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12" s="167" cm="1">
        <f t="array" ref="I12">_xlfn.LET(
  _xlpm.r, K12:AG12,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12" s="167">
        <f>COUNTIFS(' CVM'!$E$4:$E$62,$E12,' CVM'!$L$4:$L$62,TRUE)
+COUNTIFS(' CVM'!$E$4:$E$62,$E12,' CVM'!$N$4:$N$62,TRUE)
+COUNTIFS(' CVM'!$E$4:$E$62,$E12,' CVM'!$P$4:$P$62,TRUE)
+COUNTIFS(' CVM'!$E$4:$E$62,$E12,' CVM'!$R$4:$R$62,TRUE)
+COUNTIFS(' CVM'!$E$4:$E$62,$E12,' CVM'!$T$4:$T$62,TRUE)
+COUNTIFS(' CVM'!$E$4:$E$62,$E12,' CVM'!$V$4:$V$62,TRUE)
+COUNTIFS(' CVM'!$E$4:$E$62,$E12,' CVM'!$X$4:$X$62,TRUE)
+COUNTIFS(' CVM'!$E$4:$E$62,$E12,' CVM'!$Z$4:$Z$62,TRUE)
+COUNTIFS(' CVM'!$E$4:$E$62,$E12,' CVM'!$AB$4:$AB$62,TRUE)
+COUNTIFS(' CVM'!$E$4:$E$62,$E12,' CVM'!$AD$4:$AD$62,TRUE)
+COUNTIFS(' CVM'!$E$4:$E$62,$E12,' CVM'!$AF$4:$AF$62,TRUE)
+COUNTIFS(' CVM'!$E$4:$E$62,$E12,' CVM'!$AH$4:$AH$62,TRUE)</f>
        <v>0</v>
      </c>
      <c r="K12" s="124"/>
      <c r="L12" s="125" t="b">
        <v>0</v>
      </c>
      <c r="M12" s="119"/>
      <c r="N12" s="125" t="b">
        <v>0</v>
      </c>
      <c r="O12" s="124"/>
      <c r="P12" s="125" t="b">
        <v>0</v>
      </c>
      <c r="Q12" s="124"/>
      <c r="R12" s="125" t="b">
        <v>0</v>
      </c>
      <c r="S12" s="124"/>
      <c r="T12" s="125" t="b">
        <v>0</v>
      </c>
      <c r="U12" s="124"/>
      <c r="V12" s="125" t="b">
        <v>0</v>
      </c>
      <c r="W12" s="124"/>
      <c r="X12" s="125" t="b">
        <v>0</v>
      </c>
      <c r="Y12" s="124"/>
      <c r="Z12" s="125" t="b">
        <v>0</v>
      </c>
      <c r="AA12" s="124"/>
      <c r="AB12" s="125" t="b">
        <v>0</v>
      </c>
      <c r="AC12" s="124"/>
      <c r="AD12" s="125" t="b">
        <v>0</v>
      </c>
      <c r="AE12" s="124"/>
      <c r="AF12" s="125" t="b">
        <v>0</v>
      </c>
      <c r="AG12" s="124"/>
      <c r="AH12" s="126" t="b">
        <v>0</v>
      </c>
    </row>
    <row r="13" spans="1:34" ht="16.5">
      <c r="A13" s="117">
        <v>10</v>
      </c>
      <c r="B13" s="131" t="str">
        <f>Database!U14</f>
        <v>NSW (North)</v>
      </c>
      <c r="C13" s="131">
        <f>Database!V14</f>
        <v>29115</v>
      </c>
      <c r="D13" s="130" t="s">
        <v>549</v>
      </c>
      <c r="E13" s="127" t="str">
        <f>Database!W14</f>
        <v>CORKAYCHA PTY LTD t/as TWW PORT STEPHENS</v>
      </c>
      <c r="F13" s="220" t="str">
        <f>Database!X14</f>
        <v>TOTALLY WORKWEAR PORT STEPHENS</v>
      </c>
      <c r="G13" s="220"/>
      <c r="H13" s="166">
        <f>_xlfn.LET(
 _xlpm.n,TRIM(SUBSTITUTE($C13,CHAR(160),"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46059</v>
      </c>
      <c r="I13" s="167" cm="1">
        <f t="array" ref="I13">_xlfn.LET(
  _xlpm.r, K13:AG13,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13" s="167">
        <f>COUNTIFS(' CVM'!$E$4:$E$62,$E13,' CVM'!$L$4:$L$62,TRUE)
+COUNTIFS(' CVM'!$E$4:$E$62,$E13,' CVM'!$N$4:$N$62,TRUE)
+COUNTIFS(' CVM'!$E$4:$E$62,$E13,' CVM'!$P$4:$P$62,TRUE)
+COUNTIFS(' CVM'!$E$4:$E$62,$E13,' CVM'!$R$4:$R$62,TRUE)
+COUNTIFS(' CVM'!$E$4:$E$62,$E13,' CVM'!$T$4:$T$62,TRUE)
+COUNTIFS(' CVM'!$E$4:$E$62,$E13,' CVM'!$V$4:$V$62,TRUE)
+COUNTIFS(' CVM'!$E$4:$E$62,$E13,' CVM'!$X$4:$X$62,TRUE)
+COUNTIFS(' CVM'!$E$4:$E$62,$E13,' CVM'!$Z$4:$Z$62,TRUE)
+COUNTIFS(' CVM'!$E$4:$E$62,$E13,' CVM'!$AB$4:$AB$62,TRUE)
+COUNTIFS(' CVM'!$E$4:$E$62,$E13,' CVM'!$AD$4:$AD$62,TRUE)
+COUNTIFS(' CVM'!$E$4:$E$62,$E13,' CVM'!$AF$4:$AF$62,TRUE)
+COUNTIFS(' CVM'!$E$4:$E$62,$E13,' CVM'!$AH$4:$AH$62,TRUE)</f>
        <v>1</v>
      </c>
      <c r="K13" s="124"/>
      <c r="L13" s="125" t="b">
        <v>0</v>
      </c>
      <c r="M13" s="119">
        <v>46059</v>
      </c>
      <c r="N13" s="125" t="b">
        <v>1</v>
      </c>
      <c r="O13" s="124"/>
      <c r="P13" s="125" t="b">
        <v>0</v>
      </c>
      <c r="Q13" s="124"/>
      <c r="R13" s="125" t="b">
        <v>0</v>
      </c>
      <c r="S13" s="124"/>
      <c r="T13" s="125" t="b">
        <v>0</v>
      </c>
      <c r="U13" s="124"/>
      <c r="V13" s="125" t="b">
        <v>0</v>
      </c>
      <c r="W13" s="124"/>
      <c r="X13" s="125" t="b">
        <v>0</v>
      </c>
      <c r="Y13" s="124"/>
      <c r="Z13" s="125" t="b">
        <v>0</v>
      </c>
      <c r="AA13" s="124"/>
      <c r="AB13" s="125" t="b">
        <v>0</v>
      </c>
      <c r="AC13" s="124"/>
      <c r="AD13" s="125" t="b">
        <v>0</v>
      </c>
      <c r="AE13" s="124"/>
      <c r="AF13" s="125" t="b">
        <v>0</v>
      </c>
      <c r="AG13" s="124"/>
      <c r="AH13" s="126" t="b">
        <v>0</v>
      </c>
    </row>
    <row r="14" spans="1:34" ht="16.5">
      <c r="A14" s="117">
        <v>11</v>
      </c>
      <c r="B14" s="131" t="str">
        <f>Database!U15</f>
        <v>NSW (North)</v>
      </c>
      <c r="C14" s="131">
        <f>Database!V15</f>
        <v>24721</v>
      </c>
      <c r="D14" s="130" t="s">
        <v>551</v>
      </c>
      <c r="E14" s="127" t="str">
        <f>Database!W15</f>
        <v>DARC ROSE PTY LTD t/as WORKLOCKER COFFS HARBOUR</v>
      </c>
      <c r="F14" s="220" t="str">
        <f>Database!X15</f>
        <v>WORKLOCKER COFFS HARBOUR</v>
      </c>
      <c r="G14" s="220"/>
      <c r="H14" s="166" t="str">
        <f>_xlfn.LET(
 _xlpm.n,TRIM(SUBSTITUTE($C14,CHAR(160),"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14" s="167" cm="1">
        <f t="array" ref="I14">_xlfn.LET(
  _xlpm.r, K14:AG14,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14" s="167">
        <f>COUNTIFS(' CVM'!$E$4:$E$62,$E14,' CVM'!$L$4:$L$62,TRUE)
+COUNTIFS(' CVM'!$E$4:$E$62,$E14,' CVM'!$N$4:$N$62,TRUE)
+COUNTIFS(' CVM'!$E$4:$E$62,$E14,' CVM'!$P$4:$P$62,TRUE)
+COUNTIFS(' CVM'!$E$4:$E$62,$E14,' CVM'!$R$4:$R$62,TRUE)
+COUNTIFS(' CVM'!$E$4:$E$62,$E14,' CVM'!$T$4:$T$62,TRUE)
+COUNTIFS(' CVM'!$E$4:$E$62,$E14,' CVM'!$V$4:$V$62,TRUE)
+COUNTIFS(' CVM'!$E$4:$E$62,$E14,' CVM'!$X$4:$X$62,TRUE)
+COUNTIFS(' CVM'!$E$4:$E$62,$E14,' CVM'!$Z$4:$Z$62,TRUE)
+COUNTIFS(' CVM'!$E$4:$E$62,$E14,' CVM'!$AB$4:$AB$62,TRUE)
+COUNTIFS(' CVM'!$E$4:$E$62,$E14,' CVM'!$AD$4:$AD$62,TRUE)
+COUNTIFS(' CVM'!$E$4:$E$62,$E14,' CVM'!$AF$4:$AF$62,TRUE)
+COUNTIFS(' CVM'!$E$4:$E$62,$E14,' CVM'!$AH$4:$AH$62,TRUE)</f>
        <v>0</v>
      </c>
      <c r="K14" s="124"/>
      <c r="L14" s="125" t="b">
        <v>0</v>
      </c>
      <c r="M14" s="119"/>
      <c r="N14" s="125" t="b">
        <v>0</v>
      </c>
      <c r="O14" s="124"/>
      <c r="P14" s="125" t="b">
        <v>0</v>
      </c>
      <c r="Q14" s="124"/>
      <c r="R14" s="125" t="b">
        <v>0</v>
      </c>
      <c r="S14" s="124"/>
      <c r="T14" s="125" t="b">
        <v>0</v>
      </c>
      <c r="U14" s="124"/>
      <c r="V14" s="125" t="b">
        <v>0</v>
      </c>
      <c r="W14" s="124"/>
      <c r="X14" s="125" t="b">
        <v>0</v>
      </c>
      <c r="Y14" s="124"/>
      <c r="Z14" s="125" t="b">
        <v>0</v>
      </c>
      <c r="AA14" s="124"/>
      <c r="AB14" s="125" t="b">
        <v>0</v>
      </c>
      <c r="AC14" s="124"/>
      <c r="AD14" s="125" t="b">
        <v>0</v>
      </c>
      <c r="AE14" s="124"/>
      <c r="AF14" s="125" t="b">
        <v>0</v>
      </c>
      <c r="AG14" s="124"/>
      <c r="AH14" s="126" t="b">
        <v>0</v>
      </c>
    </row>
    <row r="15" spans="1:34" ht="16.5">
      <c r="A15" s="117">
        <v>12</v>
      </c>
      <c r="B15" s="131" t="str">
        <f>Database!U16</f>
        <v>NSW (North)</v>
      </c>
      <c r="C15" s="131">
        <f>Database!V16</f>
        <v>29216</v>
      </c>
      <c r="D15" s="130" t="s">
        <v>548</v>
      </c>
      <c r="E15" s="127" t="str">
        <f>Database!W16</f>
        <v>FARRAMS CLOTHING AND FOOTWEAR, MUSWELLBROOK</v>
      </c>
      <c r="F15" s="220" t="str">
        <f>Database!X16</f>
        <v>FARRAMS CLOTHING AND FOOTWEAR</v>
      </c>
      <c r="G15" s="220"/>
      <c r="H15" s="166">
        <f>_xlfn.LET(
 _xlpm.n,TRIM(SUBSTITUTE($C15,CHAR(160),"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46058</v>
      </c>
      <c r="I15" s="167" cm="1">
        <f t="array" ref="I15">_xlfn.LET(
  _xlpm.r, K15:AG15,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15" s="167">
        <f>COUNTIFS(' CVM'!$E$4:$E$62,$E15,' CVM'!$L$4:$L$62,TRUE)
+COUNTIFS(' CVM'!$E$4:$E$62,$E15,' CVM'!$N$4:$N$62,TRUE)
+COUNTIFS(' CVM'!$E$4:$E$62,$E15,' CVM'!$P$4:$P$62,TRUE)
+COUNTIFS(' CVM'!$E$4:$E$62,$E15,' CVM'!$R$4:$R$62,TRUE)
+COUNTIFS(' CVM'!$E$4:$E$62,$E15,' CVM'!$T$4:$T$62,TRUE)
+COUNTIFS(' CVM'!$E$4:$E$62,$E15,' CVM'!$V$4:$V$62,TRUE)
+COUNTIFS(' CVM'!$E$4:$E$62,$E15,' CVM'!$X$4:$X$62,TRUE)
+COUNTIFS(' CVM'!$E$4:$E$62,$E15,' CVM'!$Z$4:$Z$62,TRUE)
+COUNTIFS(' CVM'!$E$4:$E$62,$E15,' CVM'!$AB$4:$AB$62,TRUE)
+COUNTIFS(' CVM'!$E$4:$E$62,$E15,' CVM'!$AD$4:$AD$62,TRUE)
+COUNTIFS(' CVM'!$E$4:$E$62,$E15,' CVM'!$AF$4:$AF$62,TRUE)
+COUNTIFS(' CVM'!$E$4:$E$62,$E15,' CVM'!$AH$4:$AH$62,TRUE)</f>
        <v>1</v>
      </c>
      <c r="K15" s="124"/>
      <c r="L15" s="125" t="b">
        <v>0</v>
      </c>
      <c r="M15" s="119">
        <v>46058</v>
      </c>
      <c r="N15" s="125" t="b">
        <v>1</v>
      </c>
      <c r="O15" s="124"/>
      <c r="P15" s="125" t="b">
        <v>0</v>
      </c>
      <c r="Q15" s="124"/>
      <c r="R15" s="125" t="b">
        <v>0</v>
      </c>
      <c r="S15" s="124"/>
      <c r="T15" s="125" t="b">
        <v>0</v>
      </c>
      <c r="U15" s="124"/>
      <c r="V15" s="125" t="b">
        <v>0</v>
      </c>
      <c r="W15" s="124"/>
      <c r="X15" s="125" t="b">
        <v>0</v>
      </c>
      <c r="Y15" s="124"/>
      <c r="Z15" s="125" t="b">
        <v>0</v>
      </c>
      <c r="AA15" s="124"/>
      <c r="AB15" s="125" t="b">
        <v>0</v>
      </c>
      <c r="AC15" s="124"/>
      <c r="AD15" s="125" t="b">
        <v>0</v>
      </c>
      <c r="AE15" s="124"/>
      <c r="AF15" s="125" t="b">
        <v>0</v>
      </c>
      <c r="AG15" s="124"/>
      <c r="AH15" s="126" t="b">
        <v>0</v>
      </c>
    </row>
    <row r="16" spans="1:34" ht="16.5">
      <c r="A16" s="117">
        <v>13</v>
      </c>
      <c r="B16" s="131" t="str">
        <f>Database!U17</f>
        <v>NSW (North)</v>
      </c>
      <c r="C16" s="131">
        <f>Database!V17</f>
        <v>29215</v>
      </c>
      <c r="D16" s="130" t="s">
        <v>548</v>
      </c>
      <c r="E16" s="127" t="str">
        <f>Database!W17</f>
        <v>FARRAMS CLOTHING AND FOOTWEAR, SCONE</v>
      </c>
      <c r="F16" s="220" t="str">
        <f>Database!X17</f>
        <v>FARRAMS CLOTHING AND FOOTWEAR</v>
      </c>
      <c r="G16" s="220"/>
      <c r="H16" s="166">
        <v>46066</v>
      </c>
      <c r="I16" s="167" cm="1">
        <f t="array" ref="I16">_xlfn.LET(
  _xlpm.r, K16:AG16,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16" s="167">
        <f>COUNTIFS(' CVM'!$E$4:$E$62,$E16,' CVM'!$L$4:$L$62,TRUE)
+COUNTIFS(' CVM'!$E$4:$E$62,$E16,' CVM'!$N$4:$N$62,TRUE)
+COUNTIFS(' CVM'!$E$4:$E$62,$E16,' CVM'!$P$4:$P$62,TRUE)
+COUNTIFS(' CVM'!$E$4:$E$62,$E16,' CVM'!$R$4:$R$62,TRUE)
+COUNTIFS(' CVM'!$E$4:$E$62,$E16,' CVM'!$T$4:$T$62,TRUE)
+COUNTIFS(' CVM'!$E$4:$E$62,$E16,' CVM'!$V$4:$V$62,TRUE)
+COUNTIFS(' CVM'!$E$4:$E$62,$E16,' CVM'!$X$4:$X$62,TRUE)
+COUNTIFS(' CVM'!$E$4:$E$62,$E16,' CVM'!$Z$4:$Z$62,TRUE)
+COUNTIFS(' CVM'!$E$4:$E$62,$E16,' CVM'!$AB$4:$AB$62,TRUE)
+COUNTIFS(' CVM'!$E$4:$E$62,$E16,' CVM'!$AD$4:$AD$62,TRUE)
+COUNTIFS(' CVM'!$E$4:$E$62,$E16,' CVM'!$AF$4:$AF$62,TRUE)
+COUNTIFS(' CVM'!$E$4:$E$62,$E16,' CVM'!$AH$4:$AH$62,TRUE)</f>
        <v>1</v>
      </c>
      <c r="K16" s="124"/>
      <c r="L16" s="125" t="b">
        <v>0</v>
      </c>
      <c r="M16" s="119">
        <v>46066</v>
      </c>
      <c r="N16" s="125" t="b">
        <v>1</v>
      </c>
      <c r="O16" s="124"/>
      <c r="P16" s="125" t="b">
        <v>0</v>
      </c>
      <c r="Q16" s="124"/>
      <c r="R16" s="125" t="b">
        <v>0</v>
      </c>
      <c r="S16" s="124"/>
      <c r="T16" s="125" t="b">
        <v>0</v>
      </c>
      <c r="U16" s="124"/>
      <c r="V16" s="125" t="b">
        <v>0</v>
      </c>
      <c r="W16" s="124"/>
      <c r="X16" s="125" t="b">
        <v>0</v>
      </c>
      <c r="Y16" s="124"/>
      <c r="Z16" s="125" t="b">
        <v>0</v>
      </c>
      <c r="AA16" s="124"/>
      <c r="AB16" s="125" t="b">
        <v>0</v>
      </c>
      <c r="AC16" s="124"/>
      <c r="AD16" s="125" t="b">
        <v>0</v>
      </c>
      <c r="AE16" s="124"/>
      <c r="AF16" s="125" t="b">
        <v>0</v>
      </c>
      <c r="AG16" s="124"/>
      <c r="AH16" s="126" t="b">
        <v>0</v>
      </c>
    </row>
    <row r="17" spans="1:34" ht="16.5">
      <c r="A17" s="117">
        <v>14</v>
      </c>
      <c r="B17" s="131" t="str">
        <f>Database!U18</f>
        <v>NSW (North)</v>
      </c>
      <c r="C17" s="131">
        <f>Database!V18</f>
        <v>27536</v>
      </c>
      <c r="D17" s="130" t="s">
        <v>549</v>
      </c>
      <c r="E17" s="127" t="str">
        <f>Database!W18</f>
        <v>FLANAGANS MENSWEAR &amp; CORPORATE SPECIALISTS PTY LTD</v>
      </c>
      <c r="F17" s="220" t="str">
        <f>Database!X18</f>
        <v>FLANAGANS</v>
      </c>
      <c r="G17" s="220"/>
      <c r="H17" s="166">
        <f>_xlfn.LET(
 _xlpm.n,TRIM(SUBSTITUTE($C17,CHAR(160),"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46058</v>
      </c>
      <c r="I17" s="167" cm="1">
        <f t="array" ref="I17">_xlfn.LET(
  _xlpm.r, K17:AG17,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17" s="167">
        <f>COUNTIFS(' CVM'!$E$4:$E$62,$E17,' CVM'!$L$4:$L$62,TRUE)
+COUNTIFS(' CVM'!$E$4:$E$62,$E17,' CVM'!$N$4:$N$62,TRUE)
+COUNTIFS(' CVM'!$E$4:$E$62,$E17,' CVM'!$P$4:$P$62,TRUE)
+COUNTIFS(' CVM'!$E$4:$E$62,$E17,' CVM'!$R$4:$R$62,TRUE)
+COUNTIFS(' CVM'!$E$4:$E$62,$E17,' CVM'!$T$4:$T$62,TRUE)
+COUNTIFS(' CVM'!$E$4:$E$62,$E17,' CVM'!$V$4:$V$62,TRUE)
+COUNTIFS(' CVM'!$E$4:$E$62,$E17,' CVM'!$X$4:$X$62,TRUE)
+COUNTIFS(' CVM'!$E$4:$E$62,$E17,' CVM'!$Z$4:$Z$62,TRUE)
+COUNTIFS(' CVM'!$E$4:$E$62,$E17,' CVM'!$AB$4:$AB$62,TRUE)
+COUNTIFS(' CVM'!$E$4:$E$62,$E17,' CVM'!$AD$4:$AD$62,TRUE)
+COUNTIFS(' CVM'!$E$4:$E$62,$E17,' CVM'!$AF$4:$AF$62,TRUE)
+COUNTIFS(' CVM'!$E$4:$E$62,$E17,' CVM'!$AH$4:$AH$62,TRUE)</f>
        <v>1</v>
      </c>
      <c r="K17" s="124"/>
      <c r="L17" s="125" t="b">
        <v>0</v>
      </c>
      <c r="M17" s="119">
        <v>46058</v>
      </c>
      <c r="N17" s="125" t="b">
        <v>1</v>
      </c>
      <c r="O17" s="124"/>
      <c r="P17" s="125" t="b">
        <v>0</v>
      </c>
      <c r="Q17" s="124"/>
      <c r="R17" s="125" t="b">
        <v>0</v>
      </c>
      <c r="S17" s="124"/>
      <c r="T17" s="125" t="b">
        <v>0</v>
      </c>
      <c r="U17" s="124"/>
      <c r="V17" s="125" t="b">
        <v>0</v>
      </c>
      <c r="W17" s="124"/>
      <c r="X17" s="125" t="b">
        <v>0</v>
      </c>
      <c r="Y17" s="124"/>
      <c r="Z17" s="125" t="b">
        <v>0</v>
      </c>
      <c r="AA17" s="124"/>
      <c r="AB17" s="125" t="b">
        <v>0</v>
      </c>
      <c r="AC17" s="124"/>
      <c r="AD17" s="125" t="b">
        <v>0</v>
      </c>
      <c r="AE17" s="124"/>
      <c r="AF17" s="125" t="b">
        <v>0</v>
      </c>
      <c r="AG17" s="124"/>
      <c r="AH17" s="126" t="b">
        <v>0</v>
      </c>
    </row>
    <row r="18" spans="1:34" ht="16.5">
      <c r="A18" s="117">
        <v>15</v>
      </c>
      <c r="B18" s="131" t="str">
        <f>Database!U19</f>
        <v>NSW (North)</v>
      </c>
      <c r="C18" s="131" t="str">
        <f>Database!V19</f>
        <v>24479F</v>
      </c>
      <c r="D18" s="130" t="s">
        <v>548</v>
      </c>
      <c r="E18" s="127" t="str">
        <f>Database!W19</f>
        <v>FXD - BRILLIAMS</v>
      </c>
      <c r="F18" s="220" t="str">
        <f>Database!X19</f>
        <v>BRILLIAMS</v>
      </c>
      <c r="G18" s="220"/>
      <c r="H18" s="166" t="str">
        <f>_xlfn.LET(
 _xlpm.n,TRIM(SUBSTITUTE($C18,CHAR(160),"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18" s="167" cm="1">
        <f t="array" ref="I18">_xlfn.LET(
  _xlpm.r, K18:AG18,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18" s="167">
        <f>COUNTIFS(' CVM'!$E$4:$E$62,$E18,' CVM'!$L$4:$L$62,TRUE)
+COUNTIFS(' CVM'!$E$4:$E$62,$E18,' CVM'!$N$4:$N$62,TRUE)
+COUNTIFS(' CVM'!$E$4:$E$62,$E18,' CVM'!$P$4:$P$62,TRUE)
+COUNTIFS(' CVM'!$E$4:$E$62,$E18,' CVM'!$R$4:$R$62,TRUE)
+COUNTIFS(' CVM'!$E$4:$E$62,$E18,' CVM'!$T$4:$T$62,TRUE)
+COUNTIFS(' CVM'!$E$4:$E$62,$E18,' CVM'!$V$4:$V$62,TRUE)
+COUNTIFS(' CVM'!$E$4:$E$62,$E18,' CVM'!$X$4:$X$62,TRUE)
+COUNTIFS(' CVM'!$E$4:$E$62,$E18,' CVM'!$Z$4:$Z$62,TRUE)
+COUNTIFS(' CVM'!$E$4:$E$62,$E18,' CVM'!$AB$4:$AB$62,TRUE)
+COUNTIFS(' CVM'!$E$4:$E$62,$E18,' CVM'!$AD$4:$AD$62,TRUE)
+COUNTIFS(' CVM'!$E$4:$E$62,$E18,' CVM'!$AF$4:$AF$62,TRUE)
+COUNTIFS(' CVM'!$E$4:$E$62,$E18,' CVM'!$AH$4:$AH$62,TRUE)</f>
        <v>0</v>
      </c>
      <c r="K18" s="124"/>
      <c r="L18" s="125" t="b">
        <v>0</v>
      </c>
      <c r="M18" s="119"/>
      <c r="N18" s="125" t="b">
        <v>0</v>
      </c>
      <c r="O18" s="124"/>
      <c r="P18" s="125" t="b">
        <v>0</v>
      </c>
      <c r="Q18" s="124"/>
      <c r="R18" s="125" t="b">
        <v>0</v>
      </c>
      <c r="S18" s="124"/>
      <c r="T18" s="125" t="b">
        <v>0</v>
      </c>
      <c r="U18" s="124"/>
      <c r="V18" s="125" t="b">
        <v>0</v>
      </c>
      <c r="W18" s="124"/>
      <c r="X18" s="125" t="b">
        <v>0</v>
      </c>
      <c r="Y18" s="124"/>
      <c r="Z18" s="125" t="b">
        <v>0</v>
      </c>
      <c r="AA18" s="124"/>
      <c r="AB18" s="125" t="b">
        <v>0</v>
      </c>
      <c r="AC18" s="124"/>
      <c r="AD18" s="125" t="b">
        <v>0</v>
      </c>
      <c r="AE18" s="124"/>
      <c r="AF18" s="125" t="b">
        <v>0</v>
      </c>
      <c r="AG18" s="124"/>
      <c r="AH18" s="126" t="b">
        <v>0</v>
      </c>
    </row>
    <row r="19" spans="1:34" ht="16.5">
      <c r="A19" s="117">
        <v>16</v>
      </c>
      <c r="B19" s="131" t="str">
        <f>Database!U20</f>
        <v>NSW (North)</v>
      </c>
      <c r="C19" s="131" t="str">
        <f>Database!V20</f>
        <v>29893F</v>
      </c>
      <c r="D19" s="130" t="s">
        <v>548</v>
      </c>
      <c r="E19" s="127" t="str">
        <f>Database!W20</f>
        <v>FXD SURF, WORK &amp; STREET</v>
      </c>
      <c r="F19" s="220" t="str">
        <f>Database!X20</f>
        <v>SURF, WORK &amp; STREET</v>
      </c>
      <c r="G19" s="220"/>
      <c r="H19" s="166">
        <f>_xlfn.LET(
 _xlpm.n,TRIM(SUBSTITUTE($C19,CHAR(160),"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46063</v>
      </c>
      <c r="I19" s="167" cm="1">
        <f t="array" ref="I19">_xlfn.LET(
  _xlpm.r, K19:AG19,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19" s="167">
        <f>COUNTIFS(' CVM'!$E$4:$E$62,$E19,' CVM'!$L$4:$L$62,TRUE)
+COUNTIFS(' CVM'!$E$4:$E$62,$E19,' CVM'!$N$4:$N$62,TRUE)
+COUNTIFS(' CVM'!$E$4:$E$62,$E19,' CVM'!$P$4:$P$62,TRUE)
+COUNTIFS(' CVM'!$E$4:$E$62,$E19,' CVM'!$R$4:$R$62,TRUE)
+COUNTIFS(' CVM'!$E$4:$E$62,$E19,' CVM'!$T$4:$T$62,TRUE)
+COUNTIFS(' CVM'!$E$4:$E$62,$E19,' CVM'!$V$4:$V$62,TRUE)
+COUNTIFS(' CVM'!$E$4:$E$62,$E19,' CVM'!$X$4:$X$62,TRUE)
+COUNTIFS(' CVM'!$E$4:$E$62,$E19,' CVM'!$Z$4:$Z$62,TRUE)
+COUNTIFS(' CVM'!$E$4:$E$62,$E19,' CVM'!$AB$4:$AB$62,TRUE)
+COUNTIFS(' CVM'!$E$4:$E$62,$E19,' CVM'!$AD$4:$AD$62,TRUE)
+COUNTIFS(' CVM'!$E$4:$E$62,$E19,' CVM'!$AF$4:$AF$62,TRUE)
+COUNTIFS(' CVM'!$E$4:$E$62,$E19,' CVM'!$AH$4:$AH$62,TRUE)</f>
        <v>1</v>
      </c>
      <c r="K19" s="124"/>
      <c r="L19" s="125" t="b">
        <v>0</v>
      </c>
      <c r="M19" s="119">
        <v>46063</v>
      </c>
      <c r="N19" s="125" t="b">
        <v>1</v>
      </c>
      <c r="O19" s="124"/>
      <c r="P19" s="125" t="b">
        <v>0</v>
      </c>
      <c r="Q19" s="124"/>
      <c r="R19" s="125" t="b">
        <v>0</v>
      </c>
      <c r="S19" s="124"/>
      <c r="T19" s="125" t="b">
        <v>0</v>
      </c>
      <c r="U19" s="124"/>
      <c r="V19" s="125" t="b">
        <v>0</v>
      </c>
      <c r="W19" s="124"/>
      <c r="X19" s="125" t="b">
        <v>0</v>
      </c>
      <c r="Y19" s="124"/>
      <c r="Z19" s="125" t="b">
        <v>0</v>
      </c>
      <c r="AA19" s="124"/>
      <c r="AB19" s="125" t="b">
        <v>0</v>
      </c>
      <c r="AC19" s="124"/>
      <c r="AD19" s="125" t="b">
        <v>0</v>
      </c>
      <c r="AE19" s="124"/>
      <c r="AF19" s="125" t="b">
        <v>0</v>
      </c>
      <c r="AG19" s="124"/>
      <c r="AH19" s="126" t="b">
        <v>0</v>
      </c>
    </row>
    <row r="20" spans="1:34" ht="16.5">
      <c r="A20" s="117">
        <v>17</v>
      </c>
      <c r="B20" s="131" t="str">
        <f>Database!U21</f>
        <v>NSW (North)</v>
      </c>
      <c r="C20" s="131">
        <f>Database!V21</f>
        <v>29986</v>
      </c>
      <c r="D20" s="130" t="s">
        <v>550</v>
      </c>
      <c r="E20" s="127" t="str">
        <f>Database!W21</f>
        <v>G &amp; J KEANE INVESTMENTS PTY LTD</v>
      </c>
      <c r="F20" s="220" t="str">
        <f>Database!X21</f>
        <v>WORKWEAR EXPRESS</v>
      </c>
      <c r="G20" s="220"/>
      <c r="H20" s="166">
        <f>_xlfn.LET(
 _xlpm.n,TRIM(SUBSTITUTE($C20,CHAR(160),"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46057</v>
      </c>
      <c r="I20" s="167" cm="1">
        <f t="array" ref="I20">_xlfn.LET(
  _xlpm.r, K20:AG20,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20" s="167">
        <f>COUNTIFS(' CVM'!$E$4:$E$62,$E20,' CVM'!$L$4:$L$62,TRUE)
+COUNTIFS(' CVM'!$E$4:$E$62,$E20,' CVM'!$N$4:$N$62,TRUE)
+COUNTIFS(' CVM'!$E$4:$E$62,$E20,' CVM'!$P$4:$P$62,TRUE)
+COUNTIFS(' CVM'!$E$4:$E$62,$E20,' CVM'!$R$4:$R$62,TRUE)
+COUNTIFS(' CVM'!$E$4:$E$62,$E20,' CVM'!$T$4:$T$62,TRUE)
+COUNTIFS(' CVM'!$E$4:$E$62,$E20,' CVM'!$V$4:$V$62,TRUE)
+COUNTIFS(' CVM'!$E$4:$E$62,$E20,' CVM'!$X$4:$X$62,TRUE)
+COUNTIFS(' CVM'!$E$4:$E$62,$E20,' CVM'!$Z$4:$Z$62,TRUE)
+COUNTIFS(' CVM'!$E$4:$E$62,$E20,' CVM'!$AB$4:$AB$62,TRUE)
+COUNTIFS(' CVM'!$E$4:$E$62,$E20,' CVM'!$AD$4:$AD$62,TRUE)
+COUNTIFS(' CVM'!$E$4:$E$62,$E20,' CVM'!$AF$4:$AF$62,TRUE)
+COUNTIFS(' CVM'!$E$4:$E$62,$E20,' CVM'!$AH$4:$AH$62,TRUE)</f>
        <v>1</v>
      </c>
      <c r="K20" s="124"/>
      <c r="L20" s="125" t="b">
        <v>0</v>
      </c>
      <c r="M20" s="119">
        <v>46057</v>
      </c>
      <c r="N20" s="125" t="b">
        <v>1</v>
      </c>
      <c r="O20" s="124"/>
      <c r="P20" s="125" t="b">
        <v>0</v>
      </c>
      <c r="Q20" s="124"/>
      <c r="R20" s="125" t="b">
        <v>0</v>
      </c>
      <c r="S20" s="124"/>
      <c r="T20" s="125" t="b">
        <v>0</v>
      </c>
      <c r="U20" s="124"/>
      <c r="V20" s="125" t="b">
        <v>0</v>
      </c>
      <c r="W20" s="124"/>
      <c r="X20" s="125" t="b">
        <v>0</v>
      </c>
      <c r="Y20" s="124"/>
      <c r="Z20" s="125" t="b">
        <v>0</v>
      </c>
      <c r="AA20" s="124"/>
      <c r="AB20" s="125" t="b">
        <v>0</v>
      </c>
      <c r="AC20" s="124"/>
      <c r="AD20" s="125" t="b">
        <v>0</v>
      </c>
      <c r="AE20" s="124"/>
      <c r="AF20" s="125" t="b">
        <v>0</v>
      </c>
      <c r="AG20" s="124"/>
      <c r="AH20" s="126" t="b">
        <v>0</v>
      </c>
    </row>
    <row r="21" spans="1:34" ht="16.5">
      <c r="A21" s="117">
        <v>18</v>
      </c>
      <c r="B21" s="131" t="str">
        <f>Database!U22</f>
        <v>NSW (North)</v>
      </c>
      <c r="C21" s="131">
        <f>Database!V22</f>
        <v>23966</v>
      </c>
      <c r="D21" s="130" t="s">
        <v>548</v>
      </c>
      <c r="E21" s="127" t="str">
        <f>Database!W22</f>
        <v>G.C KING &amp; R.  T/AS HIP POCKET INVERELL</v>
      </c>
      <c r="F21" s="220" t="str">
        <f>Database!X22</f>
        <v>HIP POCKET WORKWEAR &amp; SAFETY - NORTH WEST</v>
      </c>
      <c r="G21" s="220"/>
      <c r="H21" s="166">
        <f>_xlfn.LET(
 _xlpm.n,TRIM(SUBSTITUTE($C21,CHAR(160),"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46064</v>
      </c>
      <c r="I21" s="167" cm="1">
        <f t="array" ref="I21">_xlfn.LET(
  _xlpm.r, K21:AG21,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21" s="167">
        <f>COUNTIFS(' CVM'!$E$4:$E$62,$E21,' CVM'!$L$4:$L$62,TRUE)
+COUNTIFS(' CVM'!$E$4:$E$62,$E21,' CVM'!$N$4:$N$62,TRUE)
+COUNTIFS(' CVM'!$E$4:$E$62,$E21,' CVM'!$P$4:$P$62,TRUE)
+COUNTIFS(' CVM'!$E$4:$E$62,$E21,' CVM'!$R$4:$R$62,TRUE)
+COUNTIFS(' CVM'!$E$4:$E$62,$E21,' CVM'!$T$4:$T$62,TRUE)
+COUNTIFS(' CVM'!$E$4:$E$62,$E21,' CVM'!$V$4:$V$62,TRUE)
+COUNTIFS(' CVM'!$E$4:$E$62,$E21,' CVM'!$X$4:$X$62,TRUE)
+COUNTIFS(' CVM'!$E$4:$E$62,$E21,' CVM'!$Z$4:$Z$62,TRUE)
+COUNTIFS(' CVM'!$E$4:$E$62,$E21,' CVM'!$AB$4:$AB$62,TRUE)
+COUNTIFS(' CVM'!$E$4:$E$62,$E21,' CVM'!$AD$4:$AD$62,TRUE)
+COUNTIFS(' CVM'!$E$4:$E$62,$E21,' CVM'!$AF$4:$AF$62,TRUE)
+COUNTIFS(' CVM'!$E$4:$E$62,$E21,' CVM'!$AH$4:$AH$62,TRUE)</f>
        <v>1</v>
      </c>
      <c r="K21" s="124"/>
      <c r="L21" s="125" t="b">
        <v>0</v>
      </c>
      <c r="M21" s="119">
        <v>46064</v>
      </c>
      <c r="N21" s="125" t="b">
        <v>1</v>
      </c>
      <c r="O21" s="124"/>
      <c r="P21" s="125" t="b">
        <v>0</v>
      </c>
      <c r="Q21" s="124"/>
      <c r="R21" s="125" t="b">
        <v>0</v>
      </c>
      <c r="S21" s="124"/>
      <c r="T21" s="125" t="b">
        <v>0</v>
      </c>
      <c r="U21" s="124"/>
      <c r="V21" s="125" t="b">
        <v>0</v>
      </c>
      <c r="W21" s="124"/>
      <c r="X21" s="125" t="b">
        <v>0</v>
      </c>
      <c r="Y21" s="124"/>
      <c r="Z21" s="125" t="b">
        <v>0</v>
      </c>
      <c r="AA21" s="124"/>
      <c r="AB21" s="125" t="b">
        <v>0</v>
      </c>
      <c r="AC21" s="124"/>
      <c r="AD21" s="125" t="b">
        <v>0</v>
      </c>
      <c r="AE21" s="124"/>
      <c r="AF21" s="125" t="b">
        <v>0</v>
      </c>
      <c r="AG21" s="124"/>
      <c r="AH21" s="126" t="b">
        <v>0</v>
      </c>
    </row>
    <row r="22" spans="1:34" ht="16.5">
      <c r="A22" s="117">
        <v>19</v>
      </c>
      <c r="B22" s="131" t="str">
        <f>Database!U23</f>
        <v>NSW (North)</v>
      </c>
      <c r="C22" s="131">
        <f>Database!V23</f>
        <v>29767</v>
      </c>
      <c r="D22" s="130" t="s">
        <v>548</v>
      </c>
      <c r="E22" s="127" t="str">
        <f>Database!W23</f>
        <v>HENDERSONS MENSWEAR</v>
      </c>
      <c r="F22" s="220" t="str">
        <f>Database!X23</f>
        <v>HENDERSONS MENSWEAR</v>
      </c>
      <c r="G22" s="220"/>
      <c r="H22" s="166">
        <f>_xlfn.LET(
 _xlpm.n,TRIM(SUBSTITUTE($C22,CHAR(160),"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46062</v>
      </c>
      <c r="I22" s="167" cm="1">
        <f t="array" ref="I22">_xlfn.LET(
  _xlpm.r, K22:AG22,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22" s="167">
        <f>COUNTIFS(' CVM'!$E$4:$E$62,$E22,' CVM'!$L$4:$L$62,TRUE)
+COUNTIFS(' CVM'!$E$4:$E$62,$E22,' CVM'!$N$4:$N$62,TRUE)
+COUNTIFS(' CVM'!$E$4:$E$62,$E22,' CVM'!$P$4:$P$62,TRUE)
+COUNTIFS(' CVM'!$E$4:$E$62,$E22,' CVM'!$R$4:$R$62,TRUE)
+COUNTIFS(' CVM'!$E$4:$E$62,$E22,' CVM'!$T$4:$T$62,TRUE)
+COUNTIFS(' CVM'!$E$4:$E$62,$E22,' CVM'!$V$4:$V$62,TRUE)
+COUNTIFS(' CVM'!$E$4:$E$62,$E22,' CVM'!$X$4:$X$62,TRUE)
+COUNTIFS(' CVM'!$E$4:$E$62,$E22,' CVM'!$Z$4:$Z$62,TRUE)
+COUNTIFS(' CVM'!$E$4:$E$62,$E22,' CVM'!$AB$4:$AB$62,TRUE)
+COUNTIFS(' CVM'!$E$4:$E$62,$E22,' CVM'!$AD$4:$AD$62,TRUE)
+COUNTIFS(' CVM'!$E$4:$E$62,$E22,' CVM'!$AF$4:$AF$62,TRUE)
+COUNTIFS(' CVM'!$E$4:$E$62,$E22,' CVM'!$AH$4:$AH$62,TRUE)</f>
        <v>1</v>
      </c>
      <c r="K22" s="124"/>
      <c r="L22" s="125" t="b">
        <v>0</v>
      </c>
      <c r="M22" s="119">
        <v>46062</v>
      </c>
      <c r="N22" s="125" t="b">
        <v>1</v>
      </c>
      <c r="O22" s="124"/>
      <c r="P22" s="125" t="b">
        <v>0</v>
      </c>
      <c r="Q22" s="124"/>
      <c r="R22" s="125" t="b">
        <v>0</v>
      </c>
      <c r="S22" s="124"/>
      <c r="T22" s="125" t="b">
        <v>0</v>
      </c>
      <c r="U22" s="124"/>
      <c r="V22" s="125" t="b">
        <v>0</v>
      </c>
      <c r="W22" s="124"/>
      <c r="X22" s="125" t="b">
        <v>0</v>
      </c>
      <c r="Y22" s="124"/>
      <c r="Z22" s="125" t="b">
        <v>0</v>
      </c>
      <c r="AA22" s="124"/>
      <c r="AB22" s="125" t="b">
        <v>0</v>
      </c>
      <c r="AC22" s="124"/>
      <c r="AD22" s="125" t="b">
        <v>0</v>
      </c>
      <c r="AE22" s="124"/>
      <c r="AF22" s="125" t="b">
        <v>0</v>
      </c>
      <c r="AG22" s="124"/>
      <c r="AH22" s="126" t="b">
        <v>0</v>
      </c>
    </row>
    <row r="23" spans="1:34" ht="16.5">
      <c r="A23" s="117">
        <v>20</v>
      </c>
      <c r="B23" s="131" t="str">
        <f>Database!U24</f>
        <v>NSW (North)</v>
      </c>
      <c r="C23" s="131">
        <f>Database!V24</f>
        <v>28975</v>
      </c>
      <c r="D23" s="130" t="s">
        <v>550</v>
      </c>
      <c r="E23" s="127" t="str">
        <f>Database!W24</f>
        <v>HIP POCKET CHARMHAVEN</v>
      </c>
      <c r="F23" s="220" t="str">
        <f>Database!X24</f>
        <v>HIP POCKET WORKWEAR &amp; SAFETY CHARMHAVEN</v>
      </c>
      <c r="G23" s="220"/>
      <c r="H23" s="166">
        <f>_xlfn.LET(
 _xlpm.n,TRIM(SUBSTITUTE($C23,CHAR(160),"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46058</v>
      </c>
      <c r="I23" s="167" cm="1">
        <f t="array" ref="I23">_xlfn.LET(
  _xlpm.r, K23:AG23,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23" s="167">
        <f>COUNTIFS(' CVM'!$E$4:$E$62,$E23,' CVM'!$L$4:$L$62,TRUE)
+COUNTIFS(' CVM'!$E$4:$E$62,$E23,' CVM'!$N$4:$N$62,TRUE)
+COUNTIFS(' CVM'!$E$4:$E$62,$E23,' CVM'!$P$4:$P$62,TRUE)
+COUNTIFS(' CVM'!$E$4:$E$62,$E23,' CVM'!$R$4:$R$62,TRUE)
+COUNTIFS(' CVM'!$E$4:$E$62,$E23,' CVM'!$T$4:$T$62,TRUE)
+COUNTIFS(' CVM'!$E$4:$E$62,$E23,' CVM'!$V$4:$V$62,TRUE)
+COUNTIFS(' CVM'!$E$4:$E$62,$E23,' CVM'!$X$4:$X$62,TRUE)
+COUNTIFS(' CVM'!$E$4:$E$62,$E23,' CVM'!$Z$4:$Z$62,TRUE)
+COUNTIFS(' CVM'!$E$4:$E$62,$E23,' CVM'!$AB$4:$AB$62,TRUE)
+COUNTIFS(' CVM'!$E$4:$E$62,$E23,' CVM'!$AD$4:$AD$62,TRUE)
+COUNTIFS(' CVM'!$E$4:$E$62,$E23,' CVM'!$AF$4:$AF$62,TRUE)
+COUNTIFS(' CVM'!$E$4:$E$62,$E23,' CVM'!$AH$4:$AH$62,TRUE)</f>
        <v>1</v>
      </c>
      <c r="K23" s="124"/>
      <c r="L23" s="125" t="b">
        <v>0</v>
      </c>
      <c r="M23" s="119">
        <v>46058</v>
      </c>
      <c r="N23" s="125" t="b">
        <v>1</v>
      </c>
      <c r="O23" s="124"/>
      <c r="P23" s="125" t="b">
        <v>0</v>
      </c>
      <c r="Q23" s="124"/>
      <c r="R23" s="125" t="b">
        <v>0</v>
      </c>
      <c r="S23" s="124"/>
      <c r="T23" s="125" t="b">
        <v>0</v>
      </c>
      <c r="U23" s="124"/>
      <c r="V23" s="125" t="b">
        <v>0</v>
      </c>
      <c r="W23" s="124"/>
      <c r="X23" s="125" t="b">
        <v>0</v>
      </c>
      <c r="Y23" s="124"/>
      <c r="Z23" s="125" t="b">
        <v>0</v>
      </c>
      <c r="AA23" s="124"/>
      <c r="AB23" s="125" t="b">
        <v>0</v>
      </c>
      <c r="AC23" s="124"/>
      <c r="AD23" s="125" t="b">
        <v>0</v>
      </c>
      <c r="AE23" s="124"/>
      <c r="AF23" s="125" t="b">
        <v>0</v>
      </c>
      <c r="AG23" s="124"/>
      <c r="AH23" s="126" t="b">
        <v>0</v>
      </c>
    </row>
    <row r="24" spans="1:34" ht="16.5">
      <c r="A24" s="117">
        <v>21</v>
      </c>
      <c r="B24" s="131" t="str">
        <f>Database!U25</f>
        <v>NSW (North)</v>
      </c>
      <c r="C24" s="131">
        <f>Database!V25</f>
        <v>29441</v>
      </c>
      <c r="D24" s="130" t="s">
        <v>551</v>
      </c>
      <c r="E24" s="127" t="str">
        <f>Database!W25</f>
        <v>HIP POCKET GRAFTON</v>
      </c>
      <c r="F24" s="220" t="str">
        <f>Database!X25</f>
        <v>HIP POCKET WORKWEAR &amp; SAFETY GRAFTON</v>
      </c>
      <c r="G24" s="220"/>
      <c r="H24" s="166" t="str">
        <f>_xlfn.LET(
 _xlpm.n,TRIM(SUBSTITUTE($C24,CHAR(160),"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24" s="167" cm="1">
        <f t="array" ref="I24">_xlfn.LET(
  _xlpm.r, K24:AG24,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24" s="167">
        <f>COUNTIFS(' CVM'!$E$4:$E$62,$E24,' CVM'!$L$4:$L$62,TRUE)
+COUNTIFS(' CVM'!$E$4:$E$62,$E24,' CVM'!$N$4:$N$62,TRUE)
+COUNTIFS(' CVM'!$E$4:$E$62,$E24,' CVM'!$P$4:$P$62,TRUE)
+COUNTIFS(' CVM'!$E$4:$E$62,$E24,' CVM'!$R$4:$R$62,TRUE)
+COUNTIFS(' CVM'!$E$4:$E$62,$E24,' CVM'!$T$4:$T$62,TRUE)
+COUNTIFS(' CVM'!$E$4:$E$62,$E24,' CVM'!$V$4:$V$62,TRUE)
+COUNTIFS(' CVM'!$E$4:$E$62,$E24,' CVM'!$X$4:$X$62,TRUE)
+COUNTIFS(' CVM'!$E$4:$E$62,$E24,' CVM'!$Z$4:$Z$62,TRUE)
+COUNTIFS(' CVM'!$E$4:$E$62,$E24,' CVM'!$AB$4:$AB$62,TRUE)
+COUNTIFS(' CVM'!$E$4:$E$62,$E24,' CVM'!$AD$4:$AD$62,TRUE)
+COUNTIFS(' CVM'!$E$4:$E$62,$E24,' CVM'!$AF$4:$AF$62,TRUE)
+COUNTIFS(' CVM'!$E$4:$E$62,$E24,' CVM'!$AH$4:$AH$62,TRUE)</f>
        <v>0</v>
      </c>
      <c r="K24" s="124"/>
      <c r="L24" s="125" t="b">
        <v>0</v>
      </c>
      <c r="M24" s="119"/>
      <c r="N24" s="125" t="b">
        <v>0</v>
      </c>
      <c r="O24" s="124"/>
      <c r="P24" s="125" t="b">
        <v>0</v>
      </c>
      <c r="Q24" s="124"/>
      <c r="R24" s="125" t="b">
        <v>0</v>
      </c>
      <c r="S24" s="124"/>
      <c r="T24" s="125" t="b">
        <v>0</v>
      </c>
      <c r="U24" s="124"/>
      <c r="V24" s="125" t="b">
        <v>0</v>
      </c>
      <c r="W24" s="124"/>
      <c r="X24" s="125" t="b">
        <v>0</v>
      </c>
      <c r="Y24" s="124"/>
      <c r="Z24" s="125" t="b">
        <v>0</v>
      </c>
      <c r="AA24" s="124"/>
      <c r="AB24" s="125" t="b">
        <v>0</v>
      </c>
      <c r="AC24" s="124"/>
      <c r="AD24" s="125" t="b">
        <v>0</v>
      </c>
      <c r="AE24" s="124"/>
      <c r="AF24" s="125" t="b">
        <v>0</v>
      </c>
      <c r="AG24" s="124"/>
      <c r="AH24" s="126" t="b">
        <v>0</v>
      </c>
    </row>
    <row r="25" spans="1:34" ht="16.5">
      <c r="A25" s="117">
        <v>22</v>
      </c>
      <c r="B25" s="131" t="str">
        <f>Database!U26</f>
        <v>NSW (North)</v>
      </c>
      <c r="C25" s="131">
        <f>Database!V26</f>
        <v>28965</v>
      </c>
      <c r="D25" s="130" t="s">
        <v>549</v>
      </c>
      <c r="E25" s="127" t="str">
        <f>Database!W26</f>
        <v>HIP POCKET HUNTER P/L t/as HIP POCKET NEWCASTLE</v>
      </c>
      <c r="F25" s="220" t="str">
        <f>Database!X26</f>
        <v>HIP POCKET WORKWEAR &amp; SAFETY  HUNTER</v>
      </c>
      <c r="G25" s="220"/>
      <c r="H25" s="166">
        <f>_xlfn.LET(
 _xlpm.n,TRIM(SUBSTITUTE($C25,CHAR(160),"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46059</v>
      </c>
      <c r="I25" s="167" cm="1">
        <f t="array" ref="I25">_xlfn.LET(
  _xlpm.r, K25:AG25,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25" s="167">
        <f>COUNTIFS(' CVM'!$E$4:$E$62,$E25,' CVM'!$L$4:$L$62,TRUE)
+COUNTIFS(' CVM'!$E$4:$E$62,$E25,' CVM'!$N$4:$N$62,TRUE)
+COUNTIFS(' CVM'!$E$4:$E$62,$E25,' CVM'!$P$4:$P$62,TRUE)
+COUNTIFS(' CVM'!$E$4:$E$62,$E25,' CVM'!$R$4:$R$62,TRUE)
+COUNTIFS(' CVM'!$E$4:$E$62,$E25,' CVM'!$T$4:$T$62,TRUE)
+COUNTIFS(' CVM'!$E$4:$E$62,$E25,' CVM'!$V$4:$V$62,TRUE)
+COUNTIFS(' CVM'!$E$4:$E$62,$E25,' CVM'!$X$4:$X$62,TRUE)
+COUNTIFS(' CVM'!$E$4:$E$62,$E25,' CVM'!$Z$4:$Z$62,TRUE)
+COUNTIFS(' CVM'!$E$4:$E$62,$E25,' CVM'!$AB$4:$AB$62,TRUE)
+COUNTIFS(' CVM'!$E$4:$E$62,$E25,' CVM'!$AD$4:$AD$62,TRUE)
+COUNTIFS(' CVM'!$E$4:$E$62,$E25,' CVM'!$AF$4:$AF$62,TRUE)
+COUNTIFS(' CVM'!$E$4:$E$62,$E25,' CVM'!$AH$4:$AH$62,TRUE)</f>
        <v>1</v>
      </c>
      <c r="K25" s="124"/>
      <c r="L25" s="125" t="b">
        <v>0</v>
      </c>
      <c r="M25" s="119">
        <v>46059</v>
      </c>
      <c r="N25" s="125" t="b">
        <v>1</v>
      </c>
      <c r="O25" s="124"/>
      <c r="P25" s="125" t="b">
        <v>0</v>
      </c>
      <c r="Q25" s="124"/>
      <c r="R25" s="125" t="b">
        <v>0</v>
      </c>
      <c r="S25" s="124"/>
      <c r="T25" s="125" t="b">
        <v>0</v>
      </c>
      <c r="U25" s="124"/>
      <c r="V25" s="125" t="b">
        <v>0</v>
      </c>
      <c r="W25" s="124"/>
      <c r="X25" s="125" t="b">
        <v>0</v>
      </c>
      <c r="Y25" s="124"/>
      <c r="Z25" s="125" t="b">
        <v>0</v>
      </c>
      <c r="AA25" s="124"/>
      <c r="AB25" s="125" t="b">
        <v>0</v>
      </c>
      <c r="AC25" s="124"/>
      <c r="AD25" s="125" t="b">
        <v>0</v>
      </c>
      <c r="AE25" s="124"/>
      <c r="AF25" s="125" t="b">
        <v>0</v>
      </c>
      <c r="AG25" s="124"/>
      <c r="AH25" s="126" t="b">
        <v>0</v>
      </c>
    </row>
    <row r="26" spans="1:34" ht="16.5">
      <c r="A26" s="117">
        <v>23</v>
      </c>
      <c r="B26" s="131" t="str">
        <f>Database!U27</f>
        <v>NSW (North)</v>
      </c>
      <c r="C26" s="131">
        <f>Database!V27</f>
        <v>29335</v>
      </c>
      <c r="D26" s="130" t="s">
        <v>549</v>
      </c>
      <c r="E26" s="127" t="str">
        <f>Database!W27</f>
        <v>HIP POCKET MAITLAND</v>
      </c>
      <c r="F26" s="220" t="str">
        <f>Database!X27</f>
        <v>HIP POCKET WORKWEAR &amp;  SAFETY MAITLAND</v>
      </c>
      <c r="G26" s="220"/>
      <c r="H26" s="166">
        <f>_xlfn.LET(
 _xlpm.n,TRIM(SUBSTITUTE($C26,CHAR(160),"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46059</v>
      </c>
      <c r="I26" s="167" cm="1">
        <f t="array" ref="I26">_xlfn.LET(
  _xlpm.r, K26:AG26,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26" s="167">
        <f>COUNTIFS(' CVM'!$E$4:$E$62,$E26,' CVM'!$L$4:$L$62,TRUE)
+COUNTIFS(' CVM'!$E$4:$E$62,$E26,' CVM'!$N$4:$N$62,TRUE)
+COUNTIFS(' CVM'!$E$4:$E$62,$E26,' CVM'!$P$4:$P$62,TRUE)
+COUNTIFS(' CVM'!$E$4:$E$62,$E26,' CVM'!$R$4:$R$62,TRUE)
+COUNTIFS(' CVM'!$E$4:$E$62,$E26,' CVM'!$T$4:$T$62,TRUE)
+COUNTIFS(' CVM'!$E$4:$E$62,$E26,' CVM'!$V$4:$V$62,TRUE)
+COUNTIFS(' CVM'!$E$4:$E$62,$E26,' CVM'!$X$4:$X$62,TRUE)
+COUNTIFS(' CVM'!$E$4:$E$62,$E26,' CVM'!$Z$4:$Z$62,TRUE)
+COUNTIFS(' CVM'!$E$4:$E$62,$E26,' CVM'!$AB$4:$AB$62,TRUE)
+COUNTIFS(' CVM'!$E$4:$E$62,$E26,' CVM'!$AD$4:$AD$62,TRUE)
+COUNTIFS(' CVM'!$E$4:$E$62,$E26,' CVM'!$AF$4:$AF$62,TRUE)
+COUNTIFS(' CVM'!$E$4:$E$62,$E26,' CVM'!$AH$4:$AH$62,TRUE)</f>
        <v>1</v>
      </c>
      <c r="K26" s="124"/>
      <c r="L26" s="125" t="b">
        <v>0</v>
      </c>
      <c r="M26" s="119">
        <v>46059</v>
      </c>
      <c r="N26" s="125" t="b">
        <v>1</v>
      </c>
      <c r="O26" s="124"/>
      <c r="P26" s="125" t="b">
        <v>0</v>
      </c>
      <c r="Q26" s="124"/>
      <c r="R26" s="125" t="b">
        <v>0</v>
      </c>
      <c r="S26" s="124"/>
      <c r="T26" s="125" t="b">
        <v>0</v>
      </c>
      <c r="U26" s="124"/>
      <c r="V26" s="125" t="b">
        <v>0</v>
      </c>
      <c r="W26" s="124"/>
      <c r="X26" s="125" t="b">
        <v>0</v>
      </c>
      <c r="Y26" s="124"/>
      <c r="Z26" s="125" t="b">
        <v>0</v>
      </c>
      <c r="AA26" s="124"/>
      <c r="AB26" s="125" t="b">
        <v>0</v>
      </c>
      <c r="AC26" s="124"/>
      <c r="AD26" s="125" t="b">
        <v>0</v>
      </c>
      <c r="AE26" s="124"/>
      <c r="AF26" s="125" t="b">
        <v>0</v>
      </c>
      <c r="AG26" s="124"/>
      <c r="AH26" s="126" t="b">
        <v>0</v>
      </c>
    </row>
    <row r="27" spans="1:34" ht="16.5">
      <c r="A27" s="117">
        <v>24</v>
      </c>
      <c r="B27" s="131" t="str">
        <f>Database!U28</f>
        <v>NSW (North)</v>
      </c>
      <c r="C27" s="131">
        <f>Database!V28</f>
        <v>28573</v>
      </c>
      <c r="D27" s="130" t="s">
        <v>549</v>
      </c>
      <c r="E27" s="127" t="str">
        <f>Database!W28</f>
        <v>HIP POCKET MAITLAND THORNTON</v>
      </c>
      <c r="F27" s="220" t="str">
        <f>Database!X28</f>
        <v>HIP POCKET WORKWEAR &amp;  SAFETY THORNTON</v>
      </c>
      <c r="G27" s="220"/>
      <c r="H27" s="166">
        <f>_xlfn.LET(
 _xlpm.n,TRIM(SUBSTITUTE($C27,CHAR(160),"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46058</v>
      </c>
      <c r="I27" s="167" cm="1">
        <f t="array" ref="I27">_xlfn.LET(
  _xlpm.r, K27:AG27,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27" s="167">
        <f>COUNTIFS(' CVM'!$E$4:$E$62,$E27,' CVM'!$L$4:$L$62,TRUE)
+COUNTIFS(' CVM'!$E$4:$E$62,$E27,' CVM'!$N$4:$N$62,TRUE)
+COUNTIFS(' CVM'!$E$4:$E$62,$E27,' CVM'!$P$4:$P$62,TRUE)
+COUNTIFS(' CVM'!$E$4:$E$62,$E27,' CVM'!$R$4:$R$62,TRUE)
+COUNTIFS(' CVM'!$E$4:$E$62,$E27,' CVM'!$T$4:$T$62,TRUE)
+COUNTIFS(' CVM'!$E$4:$E$62,$E27,' CVM'!$V$4:$V$62,TRUE)
+COUNTIFS(' CVM'!$E$4:$E$62,$E27,' CVM'!$X$4:$X$62,TRUE)
+COUNTIFS(' CVM'!$E$4:$E$62,$E27,' CVM'!$Z$4:$Z$62,TRUE)
+COUNTIFS(' CVM'!$E$4:$E$62,$E27,' CVM'!$AB$4:$AB$62,TRUE)
+COUNTIFS(' CVM'!$E$4:$E$62,$E27,' CVM'!$AD$4:$AD$62,TRUE)
+COUNTIFS(' CVM'!$E$4:$E$62,$E27,' CVM'!$AF$4:$AF$62,TRUE)
+COUNTIFS(' CVM'!$E$4:$E$62,$E27,' CVM'!$AH$4:$AH$62,TRUE)</f>
        <v>1</v>
      </c>
      <c r="K27" s="124"/>
      <c r="L27" s="125" t="b">
        <v>0</v>
      </c>
      <c r="M27" s="119">
        <v>46058</v>
      </c>
      <c r="N27" s="125" t="b">
        <v>1</v>
      </c>
      <c r="O27" s="124"/>
      <c r="P27" s="125" t="b">
        <v>0</v>
      </c>
      <c r="Q27" s="124"/>
      <c r="R27" s="125" t="b">
        <v>0</v>
      </c>
      <c r="S27" s="124"/>
      <c r="T27" s="125" t="b">
        <v>0</v>
      </c>
      <c r="U27" s="124"/>
      <c r="V27" s="125" t="b">
        <v>0</v>
      </c>
      <c r="W27" s="124"/>
      <c r="X27" s="125" t="b">
        <v>0</v>
      </c>
      <c r="Y27" s="124"/>
      <c r="Z27" s="125" t="b">
        <v>0</v>
      </c>
      <c r="AA27" s="124"/>
      <c r="AB27" s="125" t="b">
        <v>0</v>
      </c>
      <c r="AC27" s="124"/>
      <c r="AD27" s="125" t="b">
        <v>0</v>
      </c>
      <c r="AE27" s="124"/>
      <c r="AF27" s="125" t="b">
        <v>0</v>
      </c>
      <c r="AG27" s="124"/>
      <c r="AH27" s="126" t="b">
        <v>0</v>
      </c>
    </row>
    <row r="28" spans="1:34" ht="16.5">
      <c r="A28" s="117">
        <v>25</v>
      </c>
      <c r="B28" s="131" t="str">
        <f>Database!U29</f>
        <v>NSW (North)</v>
      </c>
      <c r="C28" s="131">
        <f>Database!V29</f>
        <v>29466</v>
      </c>
      <c r="D28" s="130" t="s">
        <v>548</v>
      </c>
      <c r="E28" s="127" t="str">
        <f>Database!W29</f>
        <v xml:space="preserve">HIP POCKET WORKWEAR &amp; SAFETY - MOREE </v>
      </c>
      <c r="F28" s="220" t="str">
        <f>Database!X29</f>
        <v>G.C KING &amp; R.  T/AS HIP POCKET MOREE</v>
      </c>
      <c r="G28" s="220"/>
      <c r="H28" s="166">
        <f>_xlfn.LET(
 _xlpm.n,TRIM(SUBSTITUTE($C28,CHAR(160),"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46064</v>
      </c>
      <c r="I28" s="167" cm="1">
        <f t="array" ref="I28">_xlfn.LET(
  _xlpm.r, K28:AG28,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28" s="167">
        <f>COUNTIFS(' CVM'!$E$4:$E$62,$E28,' CVM'!$L$4:$L$62,TRUE)
+COUNTIFS(' CVM'!$E$4:$E$62,$E28,' CVM'!$N$4:$N$62,TRUE)
+COUNTIFS(' CVM'!$E$4:$E$62,$E28,' CVM'!$P$4:$P$62,TRUE)
+COUNTIFS(' CVM'!$E$4:$E$62,$E28,' CVM'!$R$4:$R$62,TRUE)
+COUNTIFS(' CVM'!$E$4:$E$62,$E28,' CVM'!$T$4:$T$62,TRUE)
+COUNTIFS(' CVM'!$E$4:$E$62,$E28,' CVM'!$V$4:$V$62,TRUE)
+COUNTIFS(' CVM'!$E$4:$E$62,$E28,' CVM'!$X$4:$X$62,TRUE)
+COUNTIFS(' CVM'!$E$4:$E$62,$E28,' CVM'!$Z$4:$Z$62,TRUE)
+COUNTIFS(' CVM'!$E$4:$E$62,$E28,' CVM'!$AB$4:$AB$62,TRUE)
+COUNTIFS(' CVM'!$E$4:$E$62,$E28,' CVM'!$AD$4:$AD$62,TRUE)
+COUNTIFS(' CVM'!$E$4:$E$62,$E28,' CVM'!$AF$4:$AF$62,TRUE)
+COUNTIFS(' CVM'!$E$4:$E$62,$E28,' CVM'!$AH$4:$AH$62,TRUE)</f>
        <v>1</v>
      </c>
      <c r="K28" s="124"/>
      <c r="L28" s="125" t="b">
        <v>0</v>
      </c>
      <c r="M28" s="119">
        <v>46064</v>
      </c>
      <c r="N28" s="125" t="b">
        <v>1</v>
      </c>
      <c r="O28" s="124"/>
      <c r="P28" s="125" t="b">
        <v>0</v>
      </c>
      <c r="Q28" s="124"/>
      <c r="R28" s="125" t="b">
        <v>0</v>
      </c>
      <c r="S28" s="124"/>
      <c r="T28" s="125" t="b">
        <v>0</v>
      </c>
      <c r="U28" s="124"/>
      <c r="V28" s="125" t="b">
        <v>0</v>
      </c>
      <c r="W28" s="124"/>
      <c r="X28" s="125" t="b">
        <v>0</v>
      </c>
      <c r="Y28" s="124"/>
      <c r="Z28" s="125" t="b">
        <v>0</v>
      </c>
      <c r="AA28" s="124"/>
      <c r="AB28" s="125" t="b">
        <v>0</v>
      </c>
      <c r="AC28" s="124"/>
      <c r="AD28" s="125" t="b">
        <v>0</v>
      </c>
      <c r="AE28" s="124"/>
      <c r="AF28" s="125" t="b">
        <v>0</v>
      </c>
      <c r="AG28" s="124"/>
      <c r="AH28" s="126" t="b">
        <v>0</v>
      </c>
    </row>
    <row r="29" spans="1:34" ht="16.5">
      <c r="A29" s="117">
        <v>26</v>
      </c>
      <c r="B29" s="131" t="str">
        <f>Database!U30</f>
        <v>NSW (North)</v>
      </c>
      <c r="C29" s="131">
        <f>Database!V30</f>
        <v>27364</v>
      </c>
      <c r="D29" s="130" t="s">
        <v>550</v>
      </c>
      <c r="E29" s="127" t="str">
        <f>Database!W30</f>
        <v xml:space="preserve">HIP POCKET WORKWEAR &amp; SAFETY ERINA </v>
      </c>
      <c r="F29" s="220" t="str">
        <f>Database!X30</f>
        <v xml:space="preserve">HIP POCKET WORKWEAR &amp; SAFETY ERINA </v>
      </c>
      <c r="G29" s="220"/>
      <c r="H29" s="166">
        <f>_xlfn.LET(
 _xlpm.n,TRIM(SUBSTITUTE($C29,CHAR(160),"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46059</v>
      </c>
      <c r="I29" s="167" cm="1">
        <f t="array" ref="I29">_xlfn.LET(
  _xlpm.r, K29:AG29,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29" s="167">
        <f>COUNTIFS(' CVM'!$E$4:$E$62,$E29,' CVM'!$L$4:$L$62,TRUE)
+COUNTIFS(' CVM'!$E$4:$E$62,$E29,' CVM'!$N$4:$N$62,TRUE)
+COUNTIFS(' CVM'!$E$4:$E$62,$E29,' CVM'!$P$4:$P$62,TRUE)
+COUNTIFS(' CVM'!$E$4:$E$62,$E29,' CVM'!$R$4:$R$62,TRUE)
+COUNTIFS(' CVM'!$E$4:$E$62,$E29,' CVM'!$T$4:$T$62,TRUE)
+COUNTIFS(' CVM'!$E$4:$E$62,$E29,' CVM'!$V$4:$V$62,TRUE)
+COUNTIFS(' CVM'!$E$4:$E$62,$E29,' CVM'!$X$4:$X$62,TRUE)
+COUNTIFS(' CVM'!$E$4:$E$62,$E29,' CVM'!$Z$4:$Z$62,TRUE)
+COUNTIFS(' CVM'!$E$4:$E$62,$E29,' CVM'!$AB$4:$AB$62,TRUE)
+COUNTIFS(' CVM'!$E$4:$E$62,$E29,' CVM'!$AD$4:$AD$62,TRUE)
+COUNTIFS(' CVM'!$E$4:$E$62,$E29,' CVM'!$AF$4:$AF$62,TRUE)
+COUNTIFS(' CVM'!$E$4:$E$62,$E29,' CVM'!$AH$4:$AH$62,TRUE)</f>
        <v>1</v>
      </c>
      <c r="K29" s="124"/>
      <c r="L29" s="125" t="b">
        <v>0</v>
      </c>
      <c r="M29" s="119">
        <v>46059</v>
      </c>
      <c r="N29" s="125" t="b">
        <v>1</v>
      </c>
      <c r="O29" s="124"/>
      <c r="P29" s="125" t="b">
        <v>0</v>
      </c>
      <c r="Q29" s="124"/>
      <c r="R29" s="125" t="b">
        <v>0</v>
      </c>
      <c r="S29" s="124"/>
      <c r="T29" s="125" t="b">
        <v>0</v>
      </c>
      <c r="U29" s="124"/>
      <c r="V29" s="125" t="b">
        <v>0</v>
      </c>
      <c r="W29" s="124"/>
      <c r="X29" s="125" t="b">
        <v>0</v>
      </c>
      <c r="Y29" s="124"/>
      <c r="Z29" s="125" t="b">
        <v>0</v>
      </c>
      <c r="AA29" s="124"/>
      <c r="AB29" s="125" t="b">
        <v>0</v>
      </c>
      <c r="AC29" s="124"/>
      <c r="AD29" s="125" t="b">
        <v>0</v>
      </c>
      <c r="AE29" s="124"/>
      <c r="AF29" s="125" t="b">
        <v>0</v>
      </c>
      <c r="AG29" s="124"/>
      <c r="AH29" s="126" t="b">
        <v>0</v>
      </c>
    </row>
    <row r="30" spans="1:34" ht="16.5">
      <c r="A30" s="117">
        <v>27</v>
      </c>
      <c r="B30" s="131" t="str">
        <f>Database!U31</f>
        <v>NSW (North)</v>
      </c>
      <c r="C30" s="131">
        <f>Database!V31</f>
        <v>23967</v>
      </c>
      <c r="D30" s="130" t="s">
        <v>548</v>
      </c>
      <c r="E30" s="127" t="str">
        <f>Database!W31</f>
        <v>HIP POCKET WORKWEAR &amp; SAFETY NARRABRI</v>
      </c>
      <c r="F30" s="220" t="str">
        <f>Database!X31</f>
        <v>HIP POCKET WORKWEAR &amp; SAFETY NARRABRI</v>
      </c>
      <c r="G30" s="220"/>
      <c r="H30" s="166">
        <f>_xlfn.LET(
 _xlpm.n,TRIM(SUBSTITUTE($C30,CHAR(160),"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46063</v>
      </c>
      <c r="I30" s="167" cm="1">
        <f t="array" ref="I30">_xlfn.LET(
  _xlpm.r, K30:AG30,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30" s="167">
        <f>COUNTIFS(' CVM'!$E$4:$E$62,$E30,' CVM'!$L$4:$L$62,TRUE)
+COUNTIFS(' CVM'!$E$4:$E$62,$E30,' CVM'!$N$4:$N$62,TRUE)
+COUNTIFS(' CVM'!$E$4:$E$62,$E30,' CVM'!$P$4:$P$62,TRUE)
+COUNTIFS(' CVM'!$E$4:$E$62,$E30,' CVM'!$R$4:$R$62,TRUE)
+COUNTIFS(' CVM'!$E$4:$E$62,$E30,' CVM'!$T$4:$T$62,TRUE)
+COUNTIFS(' CVM'!$E$4:$E$62,$E30,' CVM'!$V$4:$V$62,TRUE)
+COUNTIFS(' CVM'!$E$4:$E$62,$E30,' CVM'!$X$4:$X$62,TRUE)
+COUNTIFS(' CVM'!$E$4:$E$62,$E30,' CVM'!$Z$4:$Z$62,TRUE)
+COUNTIFS(' CVM'!$E$4:$E$62,$E30,' CVM'!$AB$4:$AB$62,TRUE)
+COUNTIFS(' CVM'!$E$4:$E$62,$E30,' CVM'!$AD$4:$AD$62,TRUE)
+COUNTIFS(' CVM'!$E$4:$E$62,$E30,' CVM'!$AF$4:$AF$62,TRUE)
+COUNTIFS(' CVM'!$E$4:$E$62,$E30,' CVM'!$AH$4:$AH$62,TRUE)</f>
        <v>1</v>
      </c>
      <c r="K30" s="124"/>
      <c r="L30" s="125" t="b">
        <v>0</v>
      </c>
      <c r="M30" s="119">
        <v>46063</v>
      </c>
      <c r="N30" s="125" t="b">
        <v>1</v>
      </c>
      <c r="O30" s="124"/>
      <c r="P30" s="125" t="b">
        <v>0</v>
      </c>
      <c r="Q30" s="124"/>
      <c r="R30" s="125" t="b">
        <v>0</v>
      </c>
      <c r="S30" s="124"/>
      <c r="T30" s="125" t="b">
        <v>0</v>
      </c>
      <c r="U30" s="124"/>
      <c r="V30" s="125" t="b">
        <v>0</v>
      </c>
      <c r="W30" s="124"/>
      <c r="X30" s="125" t="b">
        <v>0</v>
      </c>
      <c r="Y30" s="124"/>
      <c r="Z30" s="125" t="b">
        <v>0</v>
      </c>
      <c r="AA30" s="124"/>
      <c r="AB30" s="125" t="b">
        <v>0</v>
      </c>
      <c r="AC30" s="124"/>
      <c r="AD30" s="125" t="b">
        <v>0</v>
      </c>
      <c r="AE30" s="124"/>
      <c r="AF30" s="125" t="b">
        <v>0</v>
      </c>
      <c r="AG30" s="124"/>
      <c r="AH30" s="126" t="b">
        <v>0</v>
      </c>
    </row>
    <row r="31" spans="1:34" ht="16.5">
      <c r="A31" s="117">
        <v>28</v>
      </c>
      <c r="B31" s="131" t="str">
        <f>Database!U32</f>
        <v>NSW (North)</v>
      </c>
      <c r="C31" s="131">
        <f>Database!V32</f>
        <v>25735</v>
      </c>
      <c r="D31" s="130" t="s">
        <v>549</v>
      </c>
      <c r="E31" s="127" t="str">
        <f>Database!W32</f>
        <v>IVOCA PTY LTD  t/as Twin Rivers Workwear &amp; Uniform</v>
      </c>
      <c r="F31" s="220" t="str">
        <f>Database!X32</f>
        <v>Twin Rivers Workwear &amp; Uniform</v>
      </c>
      <c r="G31" s="220"/>
      <c r="H31" s="166">
        <f>_xlfn.LET(
 _xlpm.n,TRIM(SUBSTITUTE($C31,CHAR(160),"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46057</v>
      </c>
      <c r="I31" s="167" cm="1">
        <f t="array" ref="I31">_xlfn.LET(
  _xlpm.r, K31:AG31,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31" s="167">
        <f>COUNTIFS(' CVM'!$E$4:$E$62,$E31,' CVM'!$L$4:$L$62,TRUE)
+COUNTIFS(' CVM'!$E$4:$E$62,$E31,' CVM'!$N$4:$N$62,TRUE)
+COUNTIFS(' CVM'!$E$4:$E$62,$E31,' CVM'!$P$4:$P$62,TRUE)
+COUNTIFS(' CVM'!$E$4:$E$62,$E31,' CVM'!$R$4:$R$62,TRUE)
+COUNTIFS(' CVM'!$E$4:$E$62,$E31,' CVM'!$T$4:$T$62,TRUE)
+COUNTIFS(' CVM'!$E$4:$E$62,$E31,' CVM'!$V$4:$V$62,TRUE)
+COUNTIFS(' CVM'!$E$4:$E$62,$E31,' CVM'!$X$4:$X$62,TRUE)
+COUNTIFS(' CVM'!$E$4:$E$62,$E31,' CVM'!$Z$4:$Z$62,TRUE)
+COUNTIFS(' CVM'!$E$4:$E$62,$E31,' CVM'!$AB$4:$AB$62,TRUE)
+COUNTIFS(' CVM'!$E$4:$E$62,$E31,' CVM'!$AD$4:$AD$62,TRUE)
+COUNTIFS(' CVM'!$E$4:$E$62,$E31,' CVM'!$AF$4:$AF$62,TRUE)
+COUNTIFS(' CVM'!$E$4:$E$62,$E31,' CVM'!$AH$4:$AH$62,TRUE)</f>
        <v>1</v>
      </c>
      <c r="K31" s="124"/>
      <c r="L31" s="125" t="b">
        <v>0</v>
      </c>
      <c r="M31" s="119">
        <v>46057</v>
      </c>
      <c r="N31" s="125" t="b">
        <v>1</v>
      </c>
      <c r="O31" s="124"/>
      <c r="P31" s="125" t="b">
        <v>0</v>
      </c>
      <c r="Q31" s="124"/>
      <c r="R31" s="125" t="b">
        <v>0</v>
      </c>
      <c r="S31" s="124"/>
      <c r="T31" s="125" t="b">
        <v>0</v>
      </c>
      <c r="U31" s="124"/>
      <c r="V31" s="125" t="b">
        <v>0</v>
      </c>
      <c r="W31" s="124"/>
      <c r="X31" s="125" t="b">
        <v>0</v>
      </c>
      <c r="Y31" s="124"/>
      <c r="Z31" s="125" t="b">
        <v>0</v>
      </c>
      <c r="AA31" s="124"/>
      <c r="AB31" s="125" t="b">
        <v>0</v>
      </c>
      <c r="AC31" s="124"/>
      <c r="AD31" s="125" t="b">
        <v>0</v>
      </c>
      <c r="AE31" s="124"/>
      <c r="AF31" s="125" t="b">
        <v>0</v>
      </c>
      <c r="AG31" s="124"/>
      <c r="AH31" s="126" t="b">
        <v>0</v>
      </c>
    </row>
    <row r="32" spans="1:34" ht="16.5">
      <c r="A32" s="117">
        <v>29</v>
      </c>
      <c r="B32" s="131" t="str">
        <f>Database!U33</f>
        <v>NSW (North)</v>
      </c>
      <c r="C32" s="131">
        <f>Database!V33</f>
        <v>29153</v>
      </c>
      <c r="D32" s="130" t="s">
        <v>551</v>
      </c>
      <c r="E32" s="127" t="str">
        <f>Database!W33</f>
        <v>KEMPSEY CORPORATE AND WORKWEAR</v>
      </c>
      <c r="F32" s="220" t="str">
        <f>Database!X33</f>
        <v>KEMPSEY CORPORATE AND WORKWEAR</v>
      </c>
      <c r="G32" s="220"/>
      <c r="H32" s="166">
        <v>46071</v>
      </c>
      <c r="I32" s="167" cm="1">
        <f t="array" ref="I32">_xlfn.LET(
  _xlpm.r, K32:AG32,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32" s="167">
        <f>COUNTIFS(' CVM'!$E$4:$E$62,$E32,' CVM'!$L$4:$L$62,TRUE)
+COUNTIFS(' CVM'!$E$4:$E$62,$E32,' CVM'!$N$4:$N$62,TRUE)
+COUNTIFS(' CVM'!$E$4:$E$62,$E32,' CVM'!$P$4:$P$62,TRUE)
+COUNTIFS(' CVM'!$E$4:$E$62,$E32,' CVM'!$R$4:$R$62,TRUE)
+COUNTIFS(' CVM'!$E$4:$E$62,$E32,' CVM'!$T$4:$T$62,TRUE)
+COUNTIFS(' CVM'!$E$4:$E$62,$E32,' CVM'!$V$4:$V$62,TRUE)
+COUNTIFS(' CVM'!$E$4:$E$62,$E32,' CVM'!$X$4:$X$62,TRUE)
+COUNTIFS(' CVM'!$E$4:$E$62,$E32,' CVM'!$Z$4:$Z$62,TRUE)
+COUNTIFS(' CVM'!$E$4:$E$62,$E32,' CVM'!$AB$4:$AB$62,TRUE)
+COUNTIFS(' CVM'!$E$4:$E$62,$E32,' CVM'!$AD$4:$AD$62,TRUE)
+COUNTIFS(' CVM'!$E$4:$E$62,$E32,' CVM'!$AF$4:$AF$62,TRUE)
+COUNTIFS(' CVM'!$E$4:$E$62,$E32,' CVM'!$AH$4:$AH$62,TRUE)</f>
        <v>0</v>
      </c>
      <c r="K32" s="124"/>
      <c r="L32" s="125" t="b">
        <v>0</v>
      </c>
      <c r="M32" s="119"/>
      <c r="N32" s="125" t="b">
        <v>0</v>
      </c>
      <c r="O32" s="124"/>
      <c r="P32" s="125" t="b">
        <v>0</v>
      </c>
      <c r="Q32" s="124"/>
      <c r="R32" s="125" t="b">
        <v>0</v>
      </c>
      <c r="S32" s="124"/>
      <c r="T32" s="125" t="b">
        <v>0</v>
      </c>
      <c r="U32" s="124"/>
      <c r="V32" s="125" t="b">
        <v>0</v>
      </c>
      <c r="W32" s="124"/>
      <c r="X32" s="125" t="b">
        <v>0</v>
      </c>
      <c r="Y32" s="124"/>
      <c r="Z32" s="125" t="b">
        <v>0</v>
      </c>
      <c r="AA32" s="124"/>
      <c r="AB32" s="125" t="b">
        <v>0</v>
      </c>
      <c r="AC32" s="124"/>
      <c r="AD32" s="125" t="b">
        <v>0</v>
      </c>
      <c r="AE32" s="124"/>
      <c r="AF32" s="125" t="b">
        <v>0</v>
      </c>
      <c r="AG32" s="124"/>
      <c r="AH32" s="126" t="b">
        <v>0</v>
      </c>
    </row>
    <row r="33" spans="1:34" ht="16.5">
      <c r="A33" s="117">
        <v>30</v>
      </c>
      <c r="B33" s="131" t="str">
        <f>Database!U34</f>
        <v>NSW (North)</v>
      </c>
      <c r="C33" s="131">
        <f>Database!V34</f>
        <v>29747</v>
      </c>
      <c r="D33" s="130" t="s">
        <v>548</v>
      </c>
      <c r="E33" s="127" t="str">
        <f>Database!W34</f>
        <v>LEHMANN CAPITAL PTY LTD t/as TWW DUBBO</v>
      </c>
      <c r="F33" s="220" t="str">
        <f>Database!X34</f>
        <v>TOTALLY WORKWEAR DUBBO</v>
      </c>
      <c r="G33" s="220"/>
      <c r="H33" s="166">
        <f>_xlfn.LET(
 _xlpm.n,TRIM(SUBSTITUTE($C33,CHAR(160),"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46062</v>
      </c>
      <c r="I33" s="167" cm="1">
        <f t="array" ref="I33">_xlfn.LET(
  _xlpm.r, K33:AG33,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33" s="167">
        <f>COUNTIFS(' CVM'!$E$4:$E$62,$E33,' CVM'!$L$4:$L$62,TRUE)
+COUNTIFS(' CVM'!$E$4:$E$62,$E33,' CVM'!$N$4:$N$62,TRUE)
+COUNTIFS(' CVM'!$E$4:$E$62,$E33,' CVM'!$P$4:$P$62,TRUE)
+COUNTIFS(' CVM'!$E$4:$E$62,$E33,' CVM'!$R$4:$R$62,TRUE)
+COUNTIFS(' CVM'!$E$4:$E$62,$E33,' CVM'!$T$4:$T$62,TRUE)
+COUNTIFS(' CVM'!$E$4:$E$62,$E33,' CVM'!$V$4:$V$62,TRUE)
+COUNTIFS(' CVM'!$E$4:$E$62,$E33,' CVM'!$X$4:$X$62,TRUE)
+COUNTIFS(' CVM'!$E$4:$E$62,$E33,' CVM'!$Z$4:$Z$62,TRUE)
+COUNTIFS(' CVM'!$E$4:$E$62,$E33,' CVM'!$AB$4:$AB$62,TRUE)
+COUNTIFS(' CVM'!$E$4:$E$62,$E33,' CVM'!$AD$4:$AD$62,TRUE)
+COUNTIFS(' CVM'!$E$4:$E$62,$E33,' CVM'!$AF$4:$AF$62,TRUE)
+COUNTIFS(' CVM'!$E$4:$E$62,$E33,' CVM'!$AH$4:$AH$62,TRUE)</f>
        <v>1</v>
      </c>
      <c r="K33" s="124"/>
      <c r="L33" s="125" t="b">
        <v>0</v>
      </c>
      <c r="M33" s="119">
        <v>46062</v>
      </c>
      <c r="N33" s="125" t="b">
        <v>1</v>
      </c>
      <c r="O33" s="124"/>
      <c r="P33" s="125" t="b">
        <v>0</v>
      </c>
      <c r="Q33" s="124"/>
      <c r="R33" s="125" t="b">
        <v>0</v>
      </c>
      <c r="S33" s="124"/>
      <c r="T33" s="125" t="b">
        <v>0</v>
      </c>
      <c r="U33" s="124"/>
      <c r="V33" s="125" t="b">
        <v>0</v>
      </c>
      <c r="W33" s="124"/>
      <c r="X33" s="125" t="b">
        <v>0</v>
      </c>
      <c r="Y33" s="124"/>
      <c r="Z33" s="125" t="b">
        <v>0</v>
      </c>
      <c r="AA33" s="124"/>
      <c r="AB33" s="125" t="b">
        <v>0</v>
      </c>
      <c r="AC33" s="124"/>
      <c r="AD33" s="125" t="b">
        <v>0</v>
      </c>
      <c r="AE33" s="124"/>
      <c r="AF33" s="125" t="b">
        <v>0</v>
      </c>
      <c r="AG33" s="124"/>
      <c r="AH33" s="126" t="b">
        <v>0</v>
      </c>
    </row>
    <row r="34" spans="1:34" ht="16.5">
      <c r="A34" s="117">
        <v>31</v>
      </c>
      <c r="B34" s="131" t="str">
        <f>Database!U35</f>
        <v>NSW (North)</v>
      </c>
      <c r="C34" s="131">
        <f>Database!V35</f>
        <v>29431</v>
      </c>
      <c r="D34" s="130" t="s">
        <v>548</v>
      </c>
      <c r="E34" s="127" t="str">
        <f>Database!W35</f>
        <v>LINUS GRAEME BOULIOPOULOS t/as LGB LOCKSMITH</v>
      </c>
      <c r="F34" s="220" t="str">
        <f>Database!X35</f>
        <v>MOREE FIRE &amp; SECURITY</v>
      </c>
      <c r="G34" s="220"/>
      <c r="H34" s="166">
        <f>_xlfn.LET(
 _xlpm.n,TRIM(SUBSTITUTE($C34,CHAR(160),"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46064</v>
      </c>
      <c r="I34" s="167" cm="1">
        <f t="array" ref="I34">_xlfn.LET(
  _xlpm.r, K34:AG34,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34" s="167">
        <f>COUNTIFS(' CVM'!$E$4:$E$62,$E34,' CVM'!$L$4:$L$62,TRUE)
+COUNTIFS(' CVM'!$E$4:$E$62,$E34,' CVM'!$N$4:$N$62,TRUE)
+COUNTIFS(' CVM'!$E$4:$E$62,$E34,' CVM'!$P$4:$P$62,TRUE)
+COUNTIFS(' CVM'!$E$4:$E$62,$E34,' CVM'!$R$4:$R$62,TRUE)
+COUNTIFS(' CVM'!$E$4:$E$62,$E34,' CVM'!$T$4:$T$62,TRUE)
+COUNTIFS(' CVM'!$E$4:$E$62,$E34,' CVM'!$V$4:$V$62,TRUE)
+COUNTIFS(' CVM'!$E$4:$E$62,$E34,' CVM'!$X$4:$X$62,TRUE)
+COUNTIFS(' CVM'!$E$4:$E$62,$E34,' CVM'!$Z$4:$Z$62,TRUE)
+COUNTIFS(' CVM'!$E$4:$E$62,$E34,' CVM'!$AB$4:$AB$62,TRUE)
+COUNTIFS(' CVM'!$E$4:$E$62,$E34,' CVM'!$AD$4:$AD$62,TRUE)
+COUNTIFS(' CVM'!$E$4:$E$62,$E34,' CVM'!$AF$4:$AF$62,TRUE)
+COUNTIFS(' CVM'!$E$4:$E$62,$E34,' CVM'!$AH$4:$AH$62,TRUE)</f>
        <v>1</v>
      </c>
      <c r="K34" s="124"/>
      <c r="L34" s="125" t="b">
        <v>0</v>
      </c>
      <c r="M34" s="119">
        <v>46064</v>
      </c>
      <c r="N34" s="125" t="b">
        <v>1</v>
      </c>
      <c r="O34" s="124"/>
      <c r="P34" s="125" t="b">
        <v>0</v>
      </c>
      <c r="Q34" s="124"/>
      <c r="R34" s="125" t="b">
        <v>0</v>
      </c>
      <c r="S34" s="124"/>
      <c r="T34" s="125" t="b">
        <v>0</v>
      </c>
      <c r="U34" s="124"/>
      <c r="V34" s="125" t="b">
        <v>0</v>
      </c>
      <c r="W34" s="124"/>
      <c r="X34" s="125" t="b">
        <v>0</v>
      </c>
      <c r="Y34" s="124"/>
      <c r="Z34" s="125" t="b">
        <v>0</v>
      </c>
      <c r="AA34" s="124"/>
      <c r="AB34" s="125" t="b">
        <v>0</v>
      </c>
      <c r="AC34" s="124"/>
      <c r="AD34" s="125" t="b">
        <v>0</v>
      </c>
      <c r="AE34" s="124"/>
      <c r="AF34" s="125" t="b">
        <v>0</v>
      </c>
      <c r="AG34" s="124"/>
      <c r="AH34" s="126" t="b">
        <v>0</v>
      </c>
    </row>
    <row r="35" spans="1:34" ht="16.5">
      <c r="A35" s="117">
        <v>32</v>
      </c>
      <c r="B35" s="131" t="str">
        <f>Database!U36</f>
        <v>NSW (North)</v>
      </c>
      <c r="C35" s="131">
        <f>Database!V36</f>
        <v>29689</v>
      </c>
      <c r="D35" s="130" t="s">
        <v>548</v>
      </c>
      <c r="E35" s="127" t="str">
        <f>Database!W36</f>
        <v>MACQUARIE CLOTHING</v>
      </c>
      <c r="F35" s="220" t="str">
        <f>Database!X36</f>
        <v>MACQUARIE CLOTHING</v>
      </c>
      <c r="G35" s="220"/>
      <c r="H35" s="166">
        <f>_xlfn.LET(
 _xlpm.n,TRIM(SUBSTITUTE($C35,CHAR(160),"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46062</v>
      </c>
      <c r="I35" s="167" cm="1">
        <f t="array" ref="I35">_xlfn.LET(
  _xlpm.r, K35:AG35,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35" s="167">
        <f>COUNTIFS(' CVM'!$E$4:$E$62,$E35,' CVM'!$L$4:$L$62,TRUE)
+COUNTIFS(' CVM'!$E$4:$E$62,$E35,' CVM'!$N$4:$N$62,TRUE)
+COUNTIFS(' CVM'!$E$4:$E$62,$E35,' CVM'!$P$4:$P$62,TRUE)
+COUNTIFS(' CVM'!$E$4:$E$62,$E35,' CVM'!$R$4:$R$62,TRUE)
+COUNTIFS(' CVM'!$E$4:$E$62,$E35,' CVM'!$T$4:$T$62,TRUE)
+COUNTIFS(' CVM'!$E$4:$E$62,$E35,' CVM'!$V$4:$V$62,TRUE)
+COUNTIFS(' CVM'!$E$4:$E$62,$E35,' CVM'!$X$4:$X$62,TRUE)
+COUNTIFS(' CVM'!$E$4:$E$62,$E35,' CVM'!$Z$4:$Z$62,TRUE)
+COUNTIFS(' CVM'!$E$4:$E$62,$E35,' CVM'!$AB$4:$AB$62,TRUE)
+COUNTIFS(' CVM'!$E$4:$E$62,$E35,' CVM'!$AD$4:$AD$62,TRUE)
+COUNTIFS(' CVM'!$E$4:$E$62,$E35,' CVM'!$AF$4:$AF$62,TRUE)
+COUNTIFS(' CVM'!$E$4:$E$62,$E35,' CVM'!$AH$4:$AH$62,TRUE)</f>
        <v>1</v>
      </c>
      <c r="K35" s="124"/>
      <c r="L35" s="125" t="b">
        <v>0</v>
      </c>
      <c r="M35" s="119">
        <v>46062</v>
      </c>
      <c r="N35" s="125" t="b">
        <v>1</v>
      </c>
      <c r="O35" s="124"/>
      <c r="P35" s="125" t="b">
        <v>0</v>
      </c>
      <c r="Q35" s="124"/>
      <c r="R35" s="125" t="b">
        <v>0</v>
      </c>
      <c r="S35" s="124"/>
      <c r="T35" s="125" t="b">
        <v>0</v>
      </c>
      <c r="U35" s="124"/>
      <c r="V35" s="125" t="b">
        <v>0</v>
      </c>
      <c r="W35" s="124"/>
      <c r="X35" s="125" t="b">
        <v>0</v>
      </c>
      <c r="Y35" s="124"/>
      <c r="Z35" s="125" t="b">
        <v>0</v>
      </c>
      <c r="AA35" s="124"/>
      <c r="AB35" s="125" t="b">
        <v>0</v>
      </c>
      <c r="AC35" s="124"/>
      <c r="AD35" s="125" t="b">
        <v>0</v>
      </c>
      <c r="AE35" s="124"/>
      <c r="AF35" s="125" t="b">
        <v>0</v>
      </c>
      <c r="AG35" s="124"/>
      <c r="AH35" s="126" t="b">
        <v>0</v>
      </c>
    </row>
    <row r="36" spans="1:34" ht="16.5">
      <c r="A36" s="117">
        <v>33</v>
      </c>
      <c r="B36" s="131" t="str">
        <f>Database!U37</f>
        <v>NSW (North)</v>
      </c>
      <c r="C36" s="131">
        <f>Database!V37</f>
        <v>29654</v>
      </c>
      <c r="D36" s="130" t="s">
        <v>548</v>
      </c>
      <c r="E36" s="127" t="str">
        <f>Database!W37</f>
        <v>MCDONALDS FASHIONS PTY LTD</v>
      </c>
      <c r="F36" s="220" t="str">
        <f>Database!X37</f>
        <v>MCDONALDS FASHIONS PTY LTD</v>
      </c>
      <c r="G36" s="220"/>
      <c r="H36" s="166">
        <f>_xlfn.LET(
 _xlpm.n,TRIM(SUBSTITUTE($C36,CHAR(160),"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46063</v>
      </c>
      <c r="I36" s="167" cm="1">
        <f t="array" ref="I36">_xlfn.LET(
  _xlpm.r, K36:AG36,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36" s="167">
        <f>COUNTIFS(' CVM'!$E$4:$E$62,$E36,' CVM'!$L$4:$L$62,TRUE)
+COUNTIFS(' CVM'!$E$4:$E$62,$E36,' CVM'!$N$4:$N$62,TRUE)
+COUNTIFS(' CVM'!$E$4:$E$62,$E36,' CVM'!$P$4:$P$62,TRUE)
+COUNTIFS(' CVM'!$E$4:$E$62,$E36,' CVM'!$R$4:$R$62,TRUE)
+COUNTIFS(' CVM'!$E$4:$E$62,$E36,' CVM'!$T$4:$T$62,TRUE)
+COUNTIFS(' CVM'!$E$4:$E$62,$E36,' CVM'!$V$4:$V$62,TRUE)
+COUNTIFS(' CVM'!$E$4:$E$62,$E36,' CVM'!$X$4:$X$62,TRUE)
+COUNTIFS(' CVM'!$E$4:$E$62,$E36,' CVM'!$Z$4:$Z$62,TRUE)
+COUNTIFS(' CVM'!$E$4:$E$62,$E36,' CVM'!$AB$4:$AB$62,TRUE)
+COUNTIFS(' CVM'!$E$4:$E$62,$E36,' CVM'!$AD$4:$AD$62,TRUE)
+COUNTIFS(' CVM'!$E$4:$E$62,$E36,' CVM'!$AF$4:$AF$62,TRUE)
+COUNTIFS(' CVM'!$E$4:$E$62,$E36,' CVM'!$AH$4:$AH$62,TRUE)</f>
        <v>1</v>
      </c>
      <c r="K36" s="124"/>
      <c r="L36" s="125" t="b">
        <v>0</v>
      </c>
      <c r="M36" s="119">
        <v>46063</v>
      </c>
      <c r="N36" s="125" t="b">
        <v>1</v>
      </c>
      <c r="O36" s="124"/>
      <c r="P36" s="125" t="b">
        <v>0</v>
      </c>
      <c r="Q36" s="124"/>
      <c r="R36" s="125" t="b">
        <v>0</v>
      </c>
      <c r="S36" s="124"/>
      <c r="T36" s="125" t="b">
        <v>0</v>
      </c>
      <c r="U36" s="124"/>
      <c r="V36" s="125" t="b">
        <v>0</v>
      </c>
      <c r="W36" s="124"/>
      <c r="X36" s="125" t="b">
        <v>0</v>
      </c>
      <c r="Y36" s="124"/>
      <c r="Z36" s="125" t="b">
        <v>0</v>
      </c>
      <c r="AA36" s="124"/>
      <c r="AB36" s="125" t="b">
        <v>0</v>
      </c>
      <c r="AC36" s="124"/>
      <c r="AD36" s="125" t="b">
        <v>0</v>
      </c>
      <c r="AE36" s="124"/>
      <c r="AF36" s="125" t="b">
        <v>0</v>
      </c>
      <c r="AG36" s="124"/>
      <c r="AH36" s="126" t="b">
        <v>0</v>
      </c>
    </row>
    <row r="37" spans="1:34" ht="16.5">
      <c r="A37" s="117">
        <v>34</v>
      </c>
      <c r="B37" s="131" t="str">
        <f>Database!U38</f>
        <v>NSW (North)</v>
      </c>
      <c r="C37" s="131">
        <f>Database!V38</f>
        <v>29788</v>
      </c>
      <c r="D37" s="130" t="s">
        <v>549</v>
      </c>
      <c r="E37" s="127" t="str">
        <f>Database!W38</f>
        <v>NEWCASTLE WORKWEAR SPECIALISTS</v>
      </c>
      <c r="F37" s="220" t="str">
        <f>Database!X38</f>
        <v>NEWCASTLE WORKWEAR SPECIALISTS</v>
      </c>
      <c r="G37" s="220"/>
      <c r="H37" s="166" t="str">
        <f>_xlfn.LET(
 _xlpm.n,TRIM(SUBSTITUTE($C37,CHAR(160),"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37" s="167" cm="1">
        <f t="array" ref="I37">_xlfn.LET(
  _xlpm.r, K37:AG37,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37" s="167">
        <f>COUNTIFS(' CVM'!$E$4:$E$62,$E37,' CVM'!$L$4:$L$62,TRUE)
+COUNTIFS(' CVM'!$E$4:$E$62,$E37,' CVM'!$N$4:$N$62,TRUE)
+COUNTIFS(' CVM'!$E$4:$E$62,$E37,' CVM'!$P$4:$P$62,TRUE)
+COUNTIFS(' CVM'!$E$4:$E$62,$E37,' CVM'!$R$4:$R$62,TRUE)
+COUNTIFS(' CVM'!$E$4:$E$62,$E37,' CVM'!$T$4:$T$62,TRUE)
+COUNTIFS(' CVM'!$E$4:$E$62,$E37,' CVM'!$V$4:$V$62,TRUE)
+COUNTIFS(' CVM'!$E$4:$E$62,$E37,' CVM'!$X$4:$X$62,TRUE)
+COUNTIFS(' CVM'!$E$4:$E$62,$E37,' CVM'!$Z$4:$Z$62,TRUE)
+COUNTIFS(' CVM'!$E$4:$E$62,$E37,' CVM'!$AB$4:$AB$62,TRUE)
+COUNTIFS(' CVM'!$E$4:$E$62,$E37,' CVM'!$AD$4:$AD$62,TRUE)
+COUNTIFS(' CVM'!$E$4:$E$62,$E37,' CVM'!$AF$4:$AF$62,TRUE)
+COUNTIFS(' CVM'!$E$4:$E$62,$E37,' CVM'!$AH$4:$AH$62,TRUE)</f>
        <v>0</v>
      </c>
      <c r="K37" s="124"/>
      <c r="L37" s="125" t="b">
        <v>0</v>
      </c>
      <c r="M37" s="119">
        <v>46058</v>
      </c>
      <c r="N37" s="125" t="b">
        <v>0</v>
      </c>
      <c r="O37" s="124"/>
      <c r="P37" s="125" t="b">
        <v>0</v>
      </c>
      <c r="Q37" s="124"/>
      <c r="R37" s="125" t="b">
        <v>0</v>
      </c>
      <c r="S37" s="124"/>
      <c r="T37" s="125" t="b">
        <v>0</v>
      </c>
      <c r="U37" s="124"/>
      <c r="V37" s="125" t="b">
        <v>0</v>
      </c>
      <c r="W37" s="124"/>
      <c r="X37" s="125" t="b">
        <v>0</v>
      </c>
      <c r="Y37" s="124"/>
      <c r="Z37" s="125" t="b">
        <v>0</v>
      </c>
      <c r="AA37" s="124"/>
      <c r="AB37" s="125" t="b">
        <v>0</v>
      </c>
      <c r="AC37" s="124"/>
      <c r="AD37" s="125" t="b">
        <v>0</v>
      </c>
      <c r="AE37" s="124"/>
      <c r="AF37" s="125" t="b">
        <v>0</v>
      </c>
      <c r="AG37" s="124"/>
      <c r="AH37" s="126" t="b">
        <v>0</v>
      </c>
    </row>
    <row r="38" spans="1:34">
      <c r="A38" s="117">
        <v>35</v>
      </c>
      <c r="B38" s="131" t="str">
        <f>Database!U39</f>
        <v>NSW (North)</v>
      </c>
      <c r="C38" s="131">
        <f>Database!V39</f>
        <v>27836</v>
      </c>
      <c r="D38" s="130"/>
      <c r="E38" s="127" t="str">
        <f>Database!W39</f>
        <v>NOELCO PTY LTD t/as MCDONALDS FASHIONS</v>
      </c>
      <c r="F38" s="220" t="str">
        <f>Database!X39</f>
        <v>MCDONALDS FASHIONS</v>
      </c>
      <c r="G38" s="220"/>
      <c r="H38" s="166" t="str">
        <f>_xlfn.LET(
 _xlpm.n,TRIM(SUBSTITUTE($C38,CHAR(160),"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38" s="167" cm="1">
        <f t="array" ref="I38">_xlfn.LET(
  _xlpm.r, K38:AG38,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38" s="167">
        <f>COUNTIFS(' CVM'!$E$4:$E$62,$E38,' CVM'!$L$4:$L$62,TRUE)
+COUNTIFS(' CVM'!$E$4:$E$62,$E38,' CVM'!$N$4:$N$62,TRUE)
+COUNTIFS(' CVM'!$E$4:$E$62,$E38,' CVM'!$P$4:$P$62,TRUE)
+COUNTIFS(' CVM'!$E$4:$E$62,$E38,' CVM'!$R$4:$R$62,TRUE)
+COUNTIFS(' CVM'!$E$4:$E$62,$E38,' CVM'!$T$4:$T$62,TRUE)
+COUNTIFS(' CVM'!$E$4:$E$62,$E38,' CVM'!$V$4:$V$62,TRUE)
+COUNTIFS(' CVM'!$E$4:$E$62,$E38,' CVM'!$X$4:$X$62,TRUE)
+COUNTIFS(' CVM'!$E$4:$E$62,$E38,' CVM'!$Z$4:$Z$62,TRUE)
+COUNTIFS(' CVM'!$E$4:$E$62,$E38,' CVM'!$AB$4:$AB$62,TRUE)
+COUNTIFS(' CVM'!$E$4:$E$62,$E38,' CVM'!$AD$4:$AD$62,TRUE)
+COUNTIFS(' CVM'!$E$4:$E$62,$E38,' CVM'!$AF$4:$AF$62,TRUE)
+COUNTIFS(' CVM'!$E$4:$E$62,$E38,' CVM'!$AH$4:$AH$62,TRUE)</f>
        <v>0</v>
      </c>
      <c r="K38" s="124"/>
      <c r="L38" s="125" t="b">
        <v>0</v>
      </c>
      <c r="M38" s="119"/>
      <c r="N38" s="125" t="b">
        <v>0</v>
      </c>
      <c r="O38" s="124"/>
      <c r="P38" s="125" t="b">
        <v>0</v>
      </c>
      <c r="Q38" s="124"/>
      <c r="R38" s="125" t="b">
        <v>0</v>
      </c>
      <c r="S38" s="124"/>
      <c r="T38" s="125" t="b">
        <v>0</v>
      </c>
      <c r="U38" s="124"/>
      <c r="V38" s="125" t="b">
        <v>0</v>
      </c>
      <c r="W38" s="124"/>
      <c r="X38" s="125" t="b">
        <v>0</v>
      </c>
      <c r="Y38" s="124"/>
      <c r="Z38" s="125" t="b">
        <v>0</v>
      </c>
      <c r="AA38" s="124"/>
      <c r="AB38" s="125" t="b">
        <v>0</v>
      </c>
      <c r="AC38" s="124"/>
      <c r="AD38" s="125" t="b">
        <v>0</v>
      </c>
      <c r="AE38" s="124"/>
      <c r="AF38" s="125" t="b">
        <v>0</v>
      </c>
      <c r="AG38" s="124"/>
      <c r="AH38" s="126" t="b">
        <v>0</v>
      </c>
    </row>
    <row r="39" spans="1:34" ht="16.5">
      <c r="A39" s="117">
        <v>36</v>
      </c>
      <c r="B39" s="131" t="str">
        <f>Database!U40</f>
        <v>NSW (North)</v>
      </c>
      <c r="C39" s="131">
        <f>Database!V40</f>
        <v>26471</v>
      </c>
      <c r="D39" s="130" t="s">
        <v>551</v>
      </c>
      <c r="E39" s="127" t="str">
        <f>Database!W40</f>
        <v>PINNACLE WORKWEAR AND UNIFORMS PTY LTD</v>
      </c>
      <c r="F39" s="220" t="str">
        <f>Database!X40</f>
        <v>WORKLOCKER FORSTER-TUNCURRY</v>
      </c>
      <c r="G39" s="220"/>
      <c r="H39" s="166">
        <v>46071</v>
      </c>
      <c r="I39" s="167" cm="1">
        <f t="array" ref="I39">_xlfn.LET(
  _xlpm.r, K39:AG39,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39" s="167">
        <f>COUNTIFS(' CVM'!$E$4:$E$62,$E39,' CVM'!$L$4:$L$62,TRUE)
+COUNTIFS(' CVM'!$E$4:$E$62,$E39,' CVM'!$N$4:$N$62,TRUE)
+COUNTIFS(' CVM'!$E$4:$E$62,$E39,' CVM'!$P$4:$P$62,TRUE)
+COUNTIFS(' CVM'!$E$4:$E$62,$E39,' CVM'!$R$4:$R$62,TRUE)
+COUNTIFS(' CVM'!$E$4:$E$62,$E39,' CVM'!$T$4:$T$62,TRUE)
+COUNTIFS(' CVM'!$E$4:$E$62,$E39,' CVM'!$V$4:$V$62,TRUE)
+COUNTIFS(' CVM'!$E$4:$E$62,$E39,' CVM'!$X$4:$X$62,TRUE)
+COUNTIFS(' CVM'!$E$4:$E$62,$E39,' CVM'!$Z$4:$Z$62,TRUE)
+COUNTIFS(' CVM'!$E$4:$E$62,$E39,' CVM'!$AB$4:$AB$62,TRUE)
+COUNTIFS(' CVM'!$E$4:$E$62,$E39,' CVM'!$AD$4:$AD$62,TRUE)
+COUNTIFS(' CVM'!$E$4:$E$62,$E39,' CVM'!$AF$4:$AF$62,TRUE)
+COUNTIFS(' CVM'!$E$4:$E$62,$E39,' CVM'!$AH$4:$AH$62,TRUE)</f>
        <v>0</v>
      </c>
      <c r="K39" s="124"/>
      <c r="L39" s="125" t="b">
        <v>0</v>
      </c>
      <c r="M39" s="119"/>
      <c r="N39" s="125" t="b">
        <v>0</v>
      </c>
      <c r="O39" s="124"/>
      <c r="P39" s="125" t="b">
        <v>0</v>
      </c>
      <c r="Q39" s="124"/>
      <c r="R39" s="125" t="b">
        <v>0</v>
      </c>
      <c r="S39" s="124"/>
      <c r="T39" s="125" t="b">
        <v>0</v>
      </c>
      <c r="U39" s="124"/>
      <c r="V39" s="125" t="b">
        <v>0</v>
      </c>
      <c r="W39" s="124"/>
      <c r="X39" s="125" t="b">
        <v>0</v>
      </c>
      <c r="Y39" s="124"/>
      <c r="Z39" s="125" t="b">
        <v>0</v>
      </c>
      <c r="AA39" s="124"/>
      <c r="AB39" s="125" t="b">
        <v>0</v>
      </c>
      <c r="AC39" s="124"/>
      <c r="AD39" s="125" t="b">
        <v>0</v>
      </c>
      <c r="AE39" s="124"/>
      <c r="AF39" s="125" t="b">
        <v>0</v>
      </c>
      <c r="AG39" s="124"/>
      <c r="AH39" s="126" t="b">
        <v>0</v>
      </c>
    </row>
    <row r="40" spans="1:34" ht="16.5">
      <c r="A40" s="117">
        <v>37</v>
      </c>
      <c r="B40" s="131" t="str">
        <f>Database!U41</f>
        <v>NSW (North)</v>
      </c>
      <c r="C40" s="131">
        <f>Database!V41</f>
        <v>29411</v>
      </c>
      <c r="D40" s="130" t="s">
        <v>548</v>
      </c>
      <c r="E40" s="127" t="str">
        <f>Database!W41</f>
        <v>PURSEGLOVES CLOTHING</v>
      </c>
      <c r="F40" s="220" t="str">
        <f>Database!X41</f>
        <v>PURSEGLOVES CLOTHING</v>
      </c>
      <c r="G40" s="220"/>
      <c r="H40" s="166">
        <f>_xlfn.LET(
 _xlpm.n,TRIM(SUBSTITUTE($C40,CHAR(160),"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46065</v>
      </c>
      <c r="I40" s="167" cm="1">
        <f t="array" ref="I40">_xlfn.LET(
  _xlpm.r, K40:AG40,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40" s="167">
        <f>COUNTIFS(' CVM'!$E$4:$E$62,$E40,' CVM'!$L$4:$L$62,TRUE)
+COUNTIFS(' CVM'!$E$4:$E$62,$E40,' CVM'!$N$4:$N$62,TRUE)
+COUNTIFS(' CVM'!$E$4:$E$62,$E40,' CVM'!$P$4:$P$62,TRUE)
+COUNTIFS(' CVM'!$E$4:$E$62,$E40,' CVM'!$R$4:$R$62,TRUE)
+COUNTIFS(' CVM'!$E$4:$E$62,$E40,' CVM'!$T$4:$T$62,TRUE)
+COUNTIFS(' CVM'!$E$4:$E$62,$E40,' CVM'!$V$4:$V$62,TRUE)
+COUNTIFS(' CVM'!$E$4:$E$62,$E40,' CVM'!$X$4:$X$62,TRUE)
+COUNTIFS(' CVM'!$E$4:$E$62,$E40,' CVM'!$Z$4:$Z$62,TRUE)
+COUNTIFS(' CVM'!$E$4:$E$62,$E40,' CVM'!$AB$4:$AB$62,TRUE)
+COUNTIFS(' CVM'!$E$4:$E$62,$E40,' CVM'!$AD$4:$AD$62,TRUE)
+COUNTIFS(' CVM'!$E$4:$E$62,$E40,' CVM'!$AF$4:$AF$62,TRUE)
+COUNTIFS(' CVM'!$E$4:$E$62,$E40,' CVM'!$AH$4:$AH$62,TRUE)</f>
        <v>1</v>
      </c>
      <c r="K40" s="124"/>
      <c r="L40" s="125" t="b">
        <v>0</v>
      </c>
      <c r="M40" s="119">
        <v>46065</v>
      </c>
      <c r="N40" s="125" t="b">
        <v>1</v>
      </c>
      <c r="O40" s="124"/>
      <c r="P40" s="125" t="b">
        <v>0</v>
      </c>
      <c r="Q40" s="124"/>
      <c r="R40" s="125" t="b">
        <v>0</v>
      </c>
      <c r="S40" s="124"/>
      <c r="T40" s="125" t="b">
        <v>0</v>
      </c>
      <c r="U40" s="124"/>
      <c r="V40" s="125" t="b">
        <v>0</v>
      </c>
      <c r="W40" s="124"/>
      <c r="X40" s="125" t="b">
        <v>0</v>
      </c>
      <c r="Y40" s="124"/>
      <c r="Z40" s="125" t="b">
        <v>0</v>
      </c>
      <c r="AA40" s="124"/>
      <c r="AB40" s="125" t="b">
        <v>0</v>
      </c>
      <c r="AC40" s="124"/>
      <c r="AD40" s="125" t="b">
        <v>0</v>
      </c>
      <c r="AE40" s="124"/>
      <c r="AF40" s="125" t="b">
        <v>0</v>
      </c>
      <c r="AG40" s="124"/>
      <c r="AH40" s="126" t="b">
        <v>0</v>
      </c>
    </row>
    <row r="41" spans="1:34" ht="16.5">
      <c r="A41" s="117">
        <v>38</v>
      </c>
      <c r="B41" s="131" t="str">
        <f>Database!U42</f>
        <v>NSW (North)</v>
      </c>
      <c r="C41" s="131">
        <f>Database!V42</f>
        <v>29347</v>
      </c>
      <c r="D41" s="130" t="s">
        <v>548</v>
      </c>
      <c r="E41" s="127" t="str">
        <f>Database!W42</f>
        <v>PURSEGLOVES CLOTHING GUNNEDAH</v>
      </c>
      <c r="F41" s="220" t="str">
        <f>Database!X42</f>
        <v>PURSEGLOVES CLOTHING GUNNEDAH</v>
      </c>
      <c r="G41" s="220"/>
      <c r="H41" s="166">
        <f>_xlfn.LET(
 _xlpm.n,TRIM(SUBSTITUTE($C41,CHAR(160),"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46063</v>
      </c>
      <c r="I41" s="167" cm="1">
        <f t="array" ref="I41">_xlfn.LET(
  _xlpm.r, K41:AG41,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41" s="167">
        <f>COUNTIFS(' CVM'!$E$4:$E$62,$E41,' CVM'!$L$4:$L$62,TRUE)
+COUNTIFS(' CVM'!$E$4:$E$62,$E41,' CVM'!$N$4:$N$62,TRUE)
+COUNTIFS(' CVM'!$E$4:$E$62,$E41,' CVM'!$P$4:$P$62,TRUE)
+COUNTIFS(' CVM'!$E$4:$E$62,$E41,' CVM'!$R$4:$R$62,TRUE)
+COUNTIFS(' CVM'!$E$4:$E$62,$E41,' CVM'!$T$4:$T$62,TRUE)
+COUNTIFS(' CVM'!$E$4:$E$62,$E41,' CVM'!$V$4:$V$62,TRUE)
+COUNTIFS(' CVM'!$E$4:$E$62,$E41,' CVM'!$X$4:$X$62,TRUE)
+COUNTIFS(' CVM'!$E$4:$E$62,$E41,' CVM'!$Z$4:$Z$62,TRUE)
+COUNTIFS(' CVM'!$E$4:$E$62,$E41,' CVM'!$AB$4:$AB$62,TRUE)
+COUNTIFS(' CVM'!$E$4:$E$62,$E41,' CVM'!$AD$4:$AD$62,TRUE)
+COUNTIFS(' CVM'!$E$4:$E$62,$E41,' CVM'!$AF$4:$AF$62,TRUE)
+COUNTIFS(' CVM'!$E$4:$E$62,$E41,' CVM'!$AH$4:$AH$62,TRUE)</f>
        <v>1</v>
      </c>
      <c r="K41" s="124"/>
      <c r="L41" s="125" t="b">
        <v>0</v>
      </c>
      <c r="M41" s="119">
        <v>46063</v>
      </c>
      <c r="N41" s="125" t="b">
        <v>1</v>
      </c>
      <c r="O41" s="124"/>
      <c r="P41" s="125" t="b">
        <v>0</v>
      </c>
      <c r="Q41" s="124"/>
      <c r="R41" s="125" t="b">
        <v>0</v>
      </c>
      <c r="S41" s="124"/>
      <c r="T41" s="125" t="b">
        <v>0</v>
      </c>
      <c r="U41" s="124"/>
      <c r="V41" s="125" t="b">
        <v>0</v>
      </c>
      <c r="W41" s="124"/>
      <c r="X41" s="125" t="b">
        <v>0</v>
      </c>
      <c r="Y41" s="124"/>
      <c r="Z41" s="125" t="b">
        <v>0</v>
      </c>
      <c r="AA41" s="124"/>
      <c r="AB41" s="125" t="b">
        <v>0</v>
      </c>
      <c r="AC41" s="124"/>
      <c r="AD41" s="125" t="b">
        <v>0</v>
      </c>
      <c r="AE41" s="124"/>
      <c r="AF41" s="125" t="b">
        <v>0</v>
      </c>
      <c r="AG41" s="124"/>
      <c r="AH41" s="126" t="b">
        <v>0</v>
      </c>
    </row>
    <row r="42" spans="1:34" ht="16.5">
      <c r="A42" s="117">
        <v>39</v>
      </c>
      <c r="B42" s="131" t="str">
        <f>Database!U43</f>
        <v>NSW (North)</v>
      </c>
      <c r="C42" s="131">
        <f>Database!V43</f>
        <v>27756</v>
      </c>
      <c r="D42" s="130" t="s">
        <v>551</v>
      </c>
      <c r="E42" s="127" t="str">
        <f>Database!W43</f>
        <v>RANNALA PTY LTD  t/as  COFFS WORKWEAR &amp; SAFETY</v>
      </c>
      <c r="F42" s="220" t="str">
        <f>Database!X43</f>
        <v>COFFS WORKWEAR &amp; SAFETY</v>
      </c>
      <c r="G42" s="220"/>
      <c r="H42" s="166" t="str">
        <f>_xlfn.LET(
 _xlpm.n,TRIM(SUBSTITUTE($C42,CHAR(160),"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42" s="167" cm="1">
        <f t="array" ref="I42">_xlfn.LET(
  _xlpm.r, K42:AG42,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42" s="167">
        <f>COUNTIFS(' CVM'!$E$4:$E$62,$E42,' CVM'!$L$4:$L$62,TRUE)
+COUNTIFS(' CVM'!$E$4:$E$62,$E42,' CVM'!$N$4:$N$62,TRUE)
+COUNTIFS(' CVM'!$E$4:$E$62,$E42,' CVM'!$P$4:$P$62,TRUE)
+COUNTIFS(' CVM'!$E$4:$E$62,$E42,' CVM'!$R$4:$R$62,TRUE)
+COUNTIFS(' CVM'!$E$4:$E$62,$E42,' CVM'!$T$4:$T$62,TRUE)
+COUNTIFS(' CVM'!$E$4:$E$62,$E42,' CVM'!$V$4:$V$62,TRUE)
+COUNTIFS(' CVM'!$E$4:$E$62,$E42,' CVM'!$X$4:$X$62,TRUE)
+COUNTIFS(' CVM'!$E$4:$E$62,$E42,' CVM'!$Z$4:$Z$62,TRUE)
+COUNTIFS(' CVM'!$E$4:$E$62,$E42,' CVM'!$AB$4:$AB$62,TRUE)
+COUNTIFS(' CVM'!$E$4:$E$62,$E42,' CVM'!$AD$4:$AD$62,TRUE)
+COUNTIFS(' CVM'!$E$4:$E$62,$E42,' CVM'!$AF$4:$AF$62,TRUE)
+COUNTIFS(' CVM'!$E$4:$E$62,$E42,' CVM'!$AH$4:$AH$62,TRUE)</f>
        <v>0</v>
      </c>
      <c r="K42" s="124"/>
      <c r="L42" s="125" t="b">
        <v>0</v>
      </c>
      <c r="M42" s="119"/>
      <c r="N42" s="125" t="b">
        <v>0</v>
      </c>
      <c r="O42" s="124"/>
      <c r="P42" s="125" t="b">
        <v>0</v>
      </c>
      <c r="Q42" s="124"/>
      <c r="R42" s="125" t="b">
        <v>0</v>
      </c>
      <c r="S42" s="124"/>
      <c r="T42" s="125" t="b">
        <v>0</v>
      </c>
      <c r="U42" s="124"/>
      <c r="V42" s="125" t="b">
        <v>0</v>
      </c>
      <c r="W42" s="124"/>
      <c r="X42" s="125" t="b">
        <v>0</v>
      </c>
      <c r="Y42" s="124"/>
      <c r="Z42" s="125" t="b">
        <v>0</v>
      </c>
      <c r="AA42" s="124"/>
      <c r="AB42" s="125" t="b">
        <v>0</v>
      </c>
      <c r="AC42" s="124"/>
      <c r="AD42" s="125" t="b">
        <v>0</v>
      </c>
      <c r="AE42" s="124"/>
      <c r="AF42" s="125" t="b">
        <v>0</v>
      </c>
      <c r="AG42" s="124"/>
      <c r="AH42" s="126" t="b">
        <v>0</v>
      </c>
    </row>
    <row r="43" spans="1:34">
      <c r="A43" s="117">
        <v>40</v>
      </c>
      <c r="B43" s="131" t="str">
        <f>Database!U44</f>
        <v>NSW (North)</v>
      </c>
      <c r="C43" s="131">
        <f>Database!V44</f>
        <v>25909</v>
      </c>
      <c r="D43" s="130"/>
      <c r="E43" s="127" t="str">
        <f>Database!W44</f>
        <v>RSEA  - LAKE HAVEN</v>
      </c>
      <c r="F43" s="220" t="str">
        <f>Database!X44</f>
        <v>RSEA  WETHERILL PARK</v>
      </c>
      <c r="G43" s="220"/>
      <c r="H43" s="166" t="str">
        <f>_xlfn.LET(
 _xlpm.n,TRIM(SUBSTITUTE($C43,CHAR(160),"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43" s="167" cm="1">
        <f t="array" ref="I43">_xlfn.LET(
  _xlpm.r, K43:AG43,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43" s="167">
        <f>COUNTIFS(' CVM'!$E$4:$E$62,$E43,' CVM'!$L$4:$L$62,TRUE)
+COUNTIFS(' CVM'!$E$4:$E$62,$E43,' CVM'!$N$4:$N$62,TRUE)
+COUNTIFS(' CVM'!$E$4:$E$62,$E43,' CVM'!$P$4:$P$62,TRUE)
+COUNTIFS(' CVM'!$E$4:$E$62,$E43,' CVM'!$R$4:$R$62,TRUE)
+COUNTIFS(' CVM'!$E$4:$E$62,$E43,' CVM'!$T$4:$T$62,TRUE)
+COUNTIFS(' CVM'!$E$4:$E$62,$E43,' CVM'!$V$4:$V$62,TRUE)
+COUNTIFS(' CVM'!$E$4:$E$62,$E43,' CVM'!$X$4:$X$62,TRUE)
+COUNTIFS(' CVM'!$E$4:$E$62,$E43,' CVM'!$Z$4:$Z$62,TRUE)
+COUNTIFS(' CVM'!$E$4:$E$62,$E43,' CVM'!$AB$4:$AB$62,TRUE)
+COUNTIFS(' CVM'!$E$4:$E$62,$E43,' CVM'!$AD$4:$AD$62,TRUE)
+COUNTIFS(' CVM'!$E$4:$E$62,$E43,' CVM'!$AF$4:$AF$62,TRUE)
+COUNTIFS(' CVM'!$E$4:$E$62,$E43,' CVM'!$AH$4:$AH$62,TRUE)</f>
        <v>0</v>
      </c>
      <c r="K43" s="124"/>
      <c r="L43" s="125" t="b">
        <v>0</v>
      </c>
      <c r="M43" s="119"/>
      <c r="N43" s="125" t="b">
        <v>0</v>
      </c>
      <c r="O43" s="124"/>
      <c r="P43" s="125" t="b">
        <v>0</v>
      </c>
      <c r="Q43" s="124"/>
      <c r="R43" s="125" t="b">
        <v>0</v>
      </c>
      <c r="S43" s="124"/>
      <c r="T43" s="125" t="b">
        <v>0</v>
      </c>
      <c r="U43" s="124"/>
      <c r="V43" s="125" t="b">
        <v>0</v>
      </c>
      <c r="W43" s="124"/>
      <c r="X43" s="125" t="b">
        <v>0</v>
      </c>
      <c r="Y43" s="124"/>
      <c r="Z43" s="125" t="b">
        <v>0</v>
      </c>
      <c r="AA43" s="124"/>
      <c r="AB43" s="125" t="b">
        <v>0</v>
      </c>
      <c r="AC43" s="124"/>
      <c r="AD43" s="125" t="b">
        <v>0</v>
      </c>
      <c r="AE43" s="124"/>
      <c r="AF43" s="125" t="b">
        <v>0</v>
      </c>
      <c r="AG43" s="124"/>
      <c r="AH43" s="126" t="b">
        <v>0</v>
      </c>
    </row>
    <row r="44" spans="1:34">
      <c r="A44" s="117">
        <v>41</v>
      </c>
      <c r="B44" s="131" t="str">
        <f>Database!U45</f>
        <v>NSW (North)</v>
      </c>
      <c r="C44" s="131">
        <f>Database!V45</f>
        <v>25736</v>
      </c>
      <c r="D44" s="130"/>
      <c r="E44" s="127" t="str">
        <f>Database!W45</f>
        <v>RSEA - DUBBO</v>
      </c>
      <c r="F44" s="220" t="str">
        <f>Database!X45</f>
        <v>RSEA -  DUBBO</v>
      </c>
      <c r="G44" s="220"/>
      <c r="H44" s="166" t="str">
        <f>_xlfn.LET(
 _xlpm.n,TRIM(SUBSTITUTE($C44,CHAR(160),"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44" s="167" cm="1">
        <f t="array" ref="I44">_xlfn.LET(
  _xlpm.r, K44:AG44,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44" s="167">
        <f>COUNTIFS(' CVM'!$E$4:$E$62,$E44,' CVM'!$L$4:$L$62,TRUE)
+COUNTIFS(' CVM'!$E$4:$E$62,$E44,' CVM'!$N$4:$N$62,TRUE)
+COUNTIFS(' CVM'!$E$4:$E$62,$E44,' CVM'!$P$4:$P$62,TRUE)
+COUNTIFS(' CVM'!$E$4:$E$62,$E44,' CVM'!$R$4:$R$62,TRUE)
+COUNTIFS(' CVM'!$E$4:$E$62,$E44,' CVM'!$T$4:$T$62,TRUE)
+COUNTIFS(' CVM'!$E$4:$E$62,$E44,' CVM'!$V$4:$V$62,TRUE)
+COUNTIFS(' CVM'!$E$4:$E$62,$E44,' CVM'!$X$4:$X$62,TRUE)
+COUNTIFS(' CVM'!$E$4:$E$62,$E44,' CVM'!$Z$4:$Z$62,TRUE)
+COUNTIFS(' CVM'!$E$4:$E$62,$E44,' CVM'!$AB$4:$AB$62,TRUE)
+COUNTIFS(' CVM'!$E$4:$E$62,$E44,' CVM'!$AD$4:$AD$62,TRUE)
+COUNTIFS(' CVM'!$E$4:$E$62,$E44,' CVM'!$AF$4:$AF$62,TRUE)
+COUNTIFS(' CVM'!$E$4:$E$62,$E44,' CVM'!$AH$4:$AH$62,TRUE)</f>
        <v>0</v>
      </c>
      <c r="K44" s="124"/>
      <c r="L44" s="125" t="b">
        <v>0</v>
      </c>
      <c r="M44" s="119"/>
      <c r="N44" s="125" t="b">
        <v>0</v>
      </c>
      <c r="O44" s="124"/>
      <c r="P44" s="125" t="b">
        <v>0</v>
      </c>
      <c r="Q44" s="124"/>
      <c r="R44" s="125" t="b">
        <v>0</v>
      </c>
      <c r="S44" s="124"/>
      <c r="T44" s="125" t="b">
        <v>0</v>
      </c>
      <c r="U44" s="124"/>
      <c r="V44" s="125" t="b">
        <v>0</v>
      </c>
      <c r="W44" s="124"/>
      <c r="X44" s="125" t="b">
        <v>0</v>
      </c>
      <c r="Y44" s="124"/>
      <c r="Z44" s="125" t="b">
        <v>0</v>
      </c>
      <c r="AA44" s="124"/>
      <c r="AB44" s="125" t="b">
        <v>0</v>
      </c>
      <c r="AC44" s="124"/>
      <c r="AD44" s="125" t="b">
        <v>0</v>
      </c>
      <c r="AE44" s="124"/>
      <c r="AF44" s="125" t="b">
        <v>0</v>
      </c>
      <c r="AG44" s="124"/>
      <c r="AH44" s="126" t="b">
        <v>0</v>
      </c>
    </row>
    <row r="45" spans="1:34">
      <c r="A45" s="117">
        <v>42</v>
      </c>
      <c r="B45" s="131" t="str">
        <f>Database!U46</f>
        <v>NSW (North)</v>
      </c>
      <c r="C45" s="131">
        <f>Database!V46</f>
        <v>29991</v>
      </c>
      <c r="D45" s="130"/>
      <c r="E45" s="127" t="str">
        <f>Database!W46</f>
        <v>RSEA - HEATHERBRAE</v>
      </c>
      <c r="F45" s="220" t="str">
        <f>Database!X46</f>
        <v>RSEA - HEATHERBRAE</v>
      </c>
      <c r="G45" s="220"/>
      <c r="H45" s="166" t="str">
        <f>_xlfn.LET(
 _xlpm.n,TRIM(SUBSTITUTE($C45,CHAR(160),"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45" s="167" cm="1">
        <f t="array" ref="I45">_xlfn.LET(
  _xlpm.r, K45:AG45,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45" s="167">
        <f>COUNTIFS(' CVM'!$E$4:$E$62,$E45,' CVM'!$L$4:$L$62,TRUE)
+COUNTIFS(' CVM'!$E$4:$E$62,$E45,' CVM'!$N$4:$N$62,TRUE)
+COUNTIFS(' CVM'!$E$4:$E$62,$E45,' CVM'!$P$4:$P$62,TRUE)
+COUNTIFS(' CVM'!$E$4:$E$62,$E45,' CVM'!$R$4:$R$62,TRUE)
+COUNTIFS(' CVM'!$E$4:$E$62,$E45,' CVM'!$T$4:$T$62,TRUE)
+COUNTIFS(' CVM'!$E$4:$E$62,$E45,' CVM'!$V$4:$V$62,TRUE)
+COUNTIFS(' CVM'!$E$4:$E$62,$E45,' CVM'!$X$4:$X$62,TRUE)
+COUNTIFS(' CVM'!$E$4:$E$62,$E45,' CVM'!$Z$4:$Z$62,TRUE)
+COUNTIFS(' CVM'!$E$4:$E$62,$E45,' CVM'!$AB$4:$AB$62,TRUE)
+COUNTIFS(' CVM'!$E$4:$E$62,$E45,' CVM'!$AD$4:$AD$62,TRUE)
+COUNTIFS(' CVM'!$E$4:$E$62,$E45,' CVM'!$AF$4:$AF$62,TRUE)
+COUNTIFS(' CVM'!$E$4:$E$62,$E45,' CVM'!$AH$4:$AH$62,TRUE)</f>
        <v>0</v>
      </c>
      <c r="K45" s="124"/>
      <c r="L45" s="125" t="b">
        <v>0</v>
      </c>
      <c r="M45" s="119"/>
      <c r="N45" s="125" t="b">
        <v>0</v>
      </c>
      <c r="O45" s="124"/>
      <c r="P45" s="125" t="b">
        <v>0</v>
      </c>
      <c r="Q45" s="124"/>
      <c r="R45" s="125" t="b">
        <v>0</v>
      </c>
      <c r="S45" s="124"/>
      <c r="T45" s="125" t="b">
        <v>0</v>
      </c>
      <c r="U45" s="124"/>
      <c r="V45" s="125" t="b">
        <v>0</v>
      </c>
      <c r="W45" s="124"/>
      <c r="X45" s="125" t="b">
        <v>0</v>
      </c>
      <c r="Y45" s="124"/>
      <c r="Z45" s="125" t="b">
        <v>0</v>
      </c>
      <c r="AA45" s="124"/>
      <c r="AB45" s="125" t="b">
        <v>0</v>
      </c>
      <c r="AC45" s="124"/>
      <c r="AD45" s="125" t="b">
        <v>0</v>
      </c>
      <c r="AE45" s="124"/>
      <c r="AF45" s="125" t="b">
        <v>0</v>
      </c>
      <c r="AG45" s="124"/>
      <c r="AH45" s="126" t="b">
        <v>0</v>
      </c>
    </row>
    <row r="46" spans="1:34">
      <c r="A46" s="117">
        <v>43</v>
      </c>
      <c r="B46" s="131" t="str">
        <f>Database!U47</f>
        <v>NSW (North)</v>
      </c>
      <c r="C46" s="131">
        <f>Database!V47</f>
        <v>29817</v>
      </c>
      <c r="D46" s="130"/>
      <c r="E46" s="127" t="str">
        <f>Database!W47</f>
        <v>RSEA - KOTARA</v>
      </c>
      <c r="F46" s="220" t="str">
        <f>Database!X47</f>
        <v>RSEA - KOTARA</v>
      </c>
      <c r="G46" s="220"/>
      <c r="H46" s="166" t="str">
        <f>_xlfn.LET(
 _xlpm.n,TRIM(SUBSTITUTE($C46,CHAR(160),"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46" s="167" cm="1">
        <f t="array" ref="I46">_xlfn.LET(
  _xlpm.r, K46:AG46,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46" s="167">
        <f>COUNTIFS(' CVM'!$E$4:$E$62,$E46,' CVM'!$L$4:$L$62,TRUE)
+COUNTIFS(' CVM'!$E$4:$E$62,$E46,' CVM'!$N$4:$N$62,TRUE)
+COUNTIFS(' CVM'!$E$4:$E$62,$E46,' CVM'!$P$4:$P$62,TRUE)
+COUNTIFS(' CVM'!$E$4:$E$62,$E46,' CVM'!$R$4:$R$62,TRUE)
+COUNTIFS(' CVM'!$E$4:$E$62,$E46,' CVM'!$T$4:$T$62,TRUE)
+COUNTIFS(' CVM'!$E$4:$E$62,$E46,' CVM'!$V$4:$V$62,TRUE)
+COUNTIFS(' CVM'!$E$4:$E$62,$E46,' CVM'!$X$4:$X$62,TRUE)
+COUNTIFS(' CVM'!$E$4:$E$62,$E46,' CVM'!$Z$4:$Z$62,TRUE)
+COUNTIFS(' CVM'!$E$4:$E$62,$E46,' CVM'!$AB$4:$AB$62,TRUE)
+COUNTIFS(' CVM'!$E$4:$E$62,$E46,' CVM'!$AD$4:$AD$62,TRUE)
+COUNTIFS(' CVM'!$E$4:$E$62,$E46,' CVM'!$AF$4:$AF$62,TRUE)
+COUNTIFS(' CVM'!$E$4:$E$62,$E46,' CVM'!$AH$4:$AH$62,TRUE)</f>
        <v>0</v>
      </c>
      <c r="K46" s="124"/>
      <c r="L46" s="125" t="b">
        <v>0</v>
      </c>
      <c r="M46" s="119"/>
      <c r="N46" s="125" t="b">
        <v>0</v>
      </c>
      <c r="O46" s="124"/>
      <c r="P46" s="125" t="b">
        <v>0</v>
      </c>
      <c r="Q46" s="124"/>
      <c r="R46" s="125" t="b">
        <v>0</v>
      </c>
      <c r="S46" s="124"/>
      <c r="T46" s="125" t="b">
        <v>0</v>
      </c>
      <c r="U46" s="124"/>
      <c r="V46" s="125" t="b">
        <v>0</v>
      </c>
      <c r="W46" s="124"/>
      <c r="X46" s="125" t="b">
        <v>0</v>
      </c>
      <c r="Y46" s="124"/>
      <c r="Z46" s="125" t="b">
        <v>0</v>
      </c>
      <c r="AA46" s="124"/>
      <c r="AB46" s="125" t="b">
        <v>0</v>
      </c>
      <c r="AC46" s="124"/>
      <c r="AD46" s="125" t="b">
        <v>0</v>
      </c>
      <c r="AE46" s="124"/>
      <c r="AF46" s="125" t="b">
        <v>0</v>
      </c>
      <c r="AG46" s="124"/>
      <c r="AH46" s="126" t="b">
        <v>0</v>
      </c>
    </row>
    <row r="47" spans="1:34">
      <c r="A47" s="117">
        <v>44</v>
      </c>
      <c r="B47" s="131" t="str">
        <f>Database!U48</f>
        <v>NSW (North)</v>
      </c>
      <c r="C47" s="131">
        <f>Database!V48</f>
        <v>29896</v>
      </c>
      <c r="D47" s="130"/>
      <c r="E47" s="127" t="str">
        <f>Database!W48</f>
        <v>RSEA - RUTHERFORD</v>
      </c>
      <c r="F47" s="220" t="str">
        <f>Database!X48</f>
        <v>RSEA - RUTHERFORD</v>
      </c>
      <c r="G47" s="220"/>
      <c r="H47" s="166" t="str">
        <f>_xlfn.LET(
 _xlpm.n,TRIM(SUBSTITUTE($C47,CHAR(160),"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47" s="167" cm="1">
        <f t="array" ref="I47">_xlfn.LET(
  _xlpm.r, K47:AG47,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47" s="167">
        <f>COUNTIFS(' CVM'!$E$4:$E$62,$E47,' CVM'!$L$4:$L$62,TRUE)
+COUNTIFS(' CVM'!$E$4:$E$62,$E47,' CVM'!$N$4:$N$62,TRUE)
+COUNTIFS(' CVM'!$E$4:$E$62,$E47,' CVM'!$P$4:$P$62,TRUE)
+COUNTIFS(' CVM'!$E$4:$E$62,$E47,' CVM'!$R$4:$R$62,TRUE)
+COUNTIFS(' CVM'!$E$4:$E$62,$E47,' CVM'!$T$4:$T$62,TRUE)
+COUNTIFS(' CVM'!$E$4:$E$62,$E47,' CVM'!$V$4:$V$62,TRUE)
+COUNTIFS(' CVM'!$E$4:$E$62,$E47,' CVM'!$X$4:$X$62,TRUE)
+COUNTIFS(' CVM'!$E$4:$E$62,$E47,' CVM'!$Z$4:$Z$62,TRUE)
+COUNTIFS(' CVM'!$E$4:$E$62,$E47,' CVM'!$AB$4:$AB$62,TRUE)
+COUNTIFS(' CVM'!$E$4:$E$62,$E47,' CVM'!$AD$4:$AD$62,TRUE)
+COUNTIFS(' CVM'!$E$4:$E$62,$E47,' CVM'!$AF$4:$AF$62,TRUE)
+COUNTIFS(' CVM'!$E$4:$E$62,$E47,' CVM'!$AH$4:$AH$62,TRUE)</f>
        <v>0</v>
      </c>
      <c r="K47" s="124"/>
      <c r="L47" s="125" t="b">
        <v>0</v>
      </c>
      <c r="M47" s="119"/>
      <c r="N47" s="125" t="b">
        <v>0</v>
      </c>
      <c r="O47" s="124"/>
      <c r="P47" s="125" t="b">
        <v>0</v>
      </c>
      <c r="Q47" s="124"/>
      <c r="R47" s="125" t="b">
        <v>0</v>
      </c>
      <c r="S47" s="124"/>
      <c r="T47" s="125" t="b">
        <v>0</v>
      </c>
      <c r="U47" s="124"/>
      <c r="V47" s="125" t="b">
        <v>0</v>
      </c>
      <c r="W47" s="124"/>
      <c r="X47" s="125" t="b">
        <v>0</v>
      </c>
      <c r="Y47" s="124"/>
      <c r="Z47" s="125" t="b">
        <v>0</v>
      </c>
      <c r="AA47" s="124"/>
      <c r="AB47" s="125" t="b">
        <v>0</v>
      </c>
      <c r="AC47" s="124"/>
      <c r="AD47" s="125" t="b">
        <v>0</v>
      </c>
      <c r="AE47" s="124"/>
      <c r="AF47" s="125" t="b">
        <v>0</v>
      </c>
      <c r="AG47" s="124"/>
      <c r="AH47" s="126" t="b">
        <v>0</v>
      </c>
    </row>
    <row r="48" spans="1:34" ht="16.5">
      <c r="A48" s="117">
        <v>45</v>
      </c>
      <c r="B48" s="131" t="str">
        <f>Database!U49</f>
        <v>NSW (North)</v>
      </c>
      <c r="C48" s="131">
        <f>Database!V49</f>
        <v>28955</v>
      </c>
      <c r="D48" s="130" t="s">
        <v>548</v>
      </c>
      <c r="E48" s="127" t="str">
        <f>Database!W49</f>
        <v>STRIPES ASSET SERVICES PTY LIMITED</v>
      </c>
      <c r="F48" s="220" t="str">
        <f>Database!X49</f>
        <v>STRIPES INDUSTRIAL GUNNEDAH</v>
      </c>
      <c r="G48" s="220"/>
      <c r="H48" s="166">
        <f>_xlfn.LET(
 _xlpm.n,TRIM(SUBSTITUTE($C48,CHAR(160),"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46063</v>
      </c>
      <c r="I48" s="167" cm="1">
        <f t="array" ref="I48">_xlfn.LET(
  _xlpm.r, K48:AG48,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48" s="167">
        <f>COUNTIFS(' CVM'!$E$4:$E$62,$E48,' CVM'!$L$4:$L$62,TRUE)
+COUNTIFS(' CVM'!$E$4:$E$62,$E48,' CVM'!$N$4:$N$62,TRUE)
+COUNTIFS(' CVM'!$E$4:$E$62,$E48,' CVM'!$P$4:$P$62,TRUE)
+COUNTIFS(' CVM'!$E$4:$E$62,$E48,' CVM'!$R$4:$R$62,TRUE)
+COUNTIFS(' CVM'!$E$4:$E$62,$E48,' CVM'!$T$4:$T$62,TRUE)
+COUNTIFS(' CVM'!$E$4:$E$62,$E48,' CVM'!$V$4:$V$62,TRUE)
+COUNTIFS(' CVM'!$E$4:$E$62,$E48,' CVM'!$X$4:$X$62,TRUE)
+COUNTIFS(' CVM'!$E$4:$E$62,$E48,' CVM'!$Z$4:$Z$62,TRUE)
+COUNTIFS(' CVM'!$E$4:$E$62,$E48,' CVM'!$AB$4:$AB$62,TRUE)
+COUNTIFS(' CVM'!$E$4:$E$62,$E48,' CVM'!$AD$4:$AD$62,TRUE)
+COUNTIFS(' CVM'!$E$4:$E$62,$E48,' CVM'!$AF$4:$AF$62,TRUE)
+COUNTIFS(' CVM'!$E$4:$E$62,$E48,' CVM'!$AH$4:$AH$62,TRUE)</f>
        <v>1</v>
      </c>
      <c r="K48" s="124"/>
      <c r="L48" s="125" t="b">
        <v>0</v>
      </c>
      <c r="M48" s="119">
        <v>46063</v>
      </c>
      <c r="N48" s="125" t="b">
        <v>1</v>
      </c>
      <c r="O48" s="124"/>
      <c r="P48" s="125" t="b">
        <v>0</v>
      </c>
      <c r="Q48" s="124"/>
      <c r="R48" s="125" t="b">
        <v>0</v>
      </c>
      <c r="S48" s="124"/>
      <c r="T48" s="125" t="b">
        <v>0</v>
      </c>
      <c r="U48" s="124"/>
      <c r="V48" s="125" t="b">
        <v>0</v>
      </c>
      <c r="W48" s="124"/>
      <c r="X48" s="125" t="b">
        <v>0</v>
      </c>
      <c r="Y48" s="124"/>
      <c r="Z48" s="125" t="b">
        <v>0</v>
      </c>
      <c r="AA48" s="124"/>
      <c r="AB48" s="125" t="b">
        <v>0</v>
      </c>
      <c r="AC48" s="124"/>
      <c r="AD48" s="125" t="b">
        <v>0</v>
      </c>
      <c r="AE48" s="124"/>
      <c r="AF48" s="125" t="b">
        <v>0</v>
      </c>
      <c r="AG48" s="124"/>
      <c r="AH48" s="126" t="b">
        <v>0</v>
      </c>
    </row>
    <row r="49" spans="1:34" ht="16.5">
      <c r="A49" s="117">
        <v>46</v>
      </c>
      <c r="B49" s="131" t="str">
        <f>Database!U50</f>
        <v>NSW (North)</v>
      </c>
      <c r="C49" s="131">
        <f>Database!V50</f>
        <v>27869</v>
      </c>
      <c r="D49" s="130" t="s">
        <v>548</v>
      </c>
      <c r="E49" s="127" t="str">
        <f>Database!W50</f>
        <v>STRIPES INDUSTRIAL SUPPLIES MUDGEE P/L</v>
      </c>
      <c r="F49" s="220" t="str">
        <f>Database!X50</f>
        <v>STRIPES INDUSTRIAL SUPPLIES MUDGEE P/L</v>
      </c>
      <c r="G49" s="220"/>
      <c r="H49" s="166">
        <f>_xlfn.LET(
 _xlpm.n,TRIM(SUBSTITUTE($C49,CHAR(160),"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46062</v>
      </c>
      <c r="I49" s="167" cm="1">
        <f t="array" ref="I49">_xlfn.LET(
  _xlpm.r, K49:AG49,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49" s="167">
        <f>COUNTIFS(' CVM'!$E$4:$E$62,$E49,' CVM'!$L$4:$L$62,TRUE)
+COUNTIFS(' CVM'!$E$4:$E$62,$E49,' CVM'!$N$4:$N$62,TRUE)
+COUNTIFS(' CVM'!$E$4:$E$62,$E49,' CVM'!$P$4:$P$62,TRUE)
+COUNTIFS(' CVM'!$E$4:$E$62,$E49,' CVM'!$R$4:$R$62,TRUE)
+COUNTIFS(' CVM'!$E$4:$E$62,$E49,' CVM'!$T$4:$T$62,TRUE)
+COUNTIFS(' CVM'!$E$4:$E$62,$E49,' CVM'!$V$4:$V$62,TRUE)
+COUNTIFS(' CVM'!$E$4:$E$62,$E49,' CVM'!$X$4:$X$62,TRUE)
+COUNTIFS(' CVM'!$E$4:$E$62,$E49,' CVM'!$Z$4:$Z$62,TRUE)
+COUNTIFS(' CVM'!$E$4:$E$62,$E49,' CVM'!$AB$4:$AB$62,TRUE)
+COUNTIFS(' CVM'!$E$4:$E$62,$E49,' CVM'!$AD$4:$AD$62,TRUE)
+COUNTIFS(' CVM'!$E$4:$E$62,$E49,' CVM'!$AF$4:$AF$62,TRUE)
+COUNTIFS(' CVM'!$E$4:$E$62,$E49,' CVM'!$AH$4:$AH$62,TRUE)</f>
        <v>1</v>
      </c>
      <c r="K49" s="124"/>
      <c r="L49" s="125" t="b">
        <v>0</v>
      </c>
      <c r="M49" s="119">
        <v>46062</v>
      </c>
      <c r="N49" s="125" t="b">
        <v>1</v>
      </c>
      <c r="O49" s="124"/>
      <c r="P49" s="125" t="b">
        <v>0</v>
      </c>
      <c r="Q49" s="124"/>
      <c r="R49" s="125" t="b">
        <v>0</v>
      </c>
      <c r="S49" s="124"/>
      <c r="T49" s="125" t="b">
        <v>0</v>
      </c>
      <c r="U49" s="124"/>
      <c r="V49" s="125" t="b">
        <v>0</v>
      </c>
      <c r="W49" s="124"/>
      <c r="X49" s="125" t="b">
        <v>0</v>
      </c>
      <c r="Y49" s="124"/>
      <c r="Z49" s="125" t="b">
        <v>0</v>
      </c>
      <c r="AA49" s="124"/>
      <c r="AB49" s="125" t="b">
        <v>0</v>
      </c>
      <c r="AC49" s="124"/>
      <c r="AD49" s="125" t="b">
        <v>0</v>
      </c>
      <c r="AE49" s="124"/>
      <c r="AF49" s="125" t="b">
        <v>0</v>
      </c>
      <c r="AG49" s="124"/>
      <c r="AH49" s="126" t="b">
        <v>0</v>
      </c>
    </row>
    <row r="50" spans="1:34" ht="16.5">
      <c r="A50" s="117">
        <v>47</v>
      </c>
      <c r="B50" s="131" t="str">
        <f>Database!U51</f>
        <v>NSW (North)</v>
      </c>
      <c r="C50" s="131">
        <f>Database!V51</f>
        <v>29673</v>
      </c>
      <c r="D50" s="130" t="s">
        <v>549</v>
      </c>
      <c r="E50" s="127" t="str">
        <f>Database!W51</f>
        <v>THREAD AND INK WORKWEAR</v>
      </c>
      <c r="F50" s="220" t="str">
        <f>Database!X51</f>
        <v>THREAD AND INK WORKWEAR</v>
      </c>
      <c r="G50" s="220"/>
      <c r="H50" s="166" t="str">
        <f>_xlfn.LET(
 _xlpm.n,TRIM(SUBSTITUTE($C50,CHAR(160),"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50" s="167" cm="1">
        <f t="array" ref="I50">_xlfn.LET(
  _xlpm.r, K50:AG50,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50" s="167">
        <f>COUNTIFS(' CVM'!$E$4:$E$62,$E50,' CVM'!$L$4:$L$62,TRUE)
+COUNTIFS(' CVM'!$E$4:$E$62,$E50,' CVM'!$N$4:$N$62,TRUE)
+COUNTIFS(' CVM'!$E$4:$E$62,$E50,' CVM'!$P$4:$P$62,TRUE)
+COUNTIFS(' CVM'!$E$4:$E$62,$E50,' CVM'!$R$4:$R$62,TRUE)
+COUNTIFS(' CVM'!$E$4:$E$62,$E50,' CVM'!$T$4:$T$62,TRUE)
+COUNTIFS(' CVM'!$E$4:$E$62,$E50,' CVM'!$V$4:$V$62,TRUE)
+COUNTIFS(' CVM'!$E$4:$E$62,$E50,' CVM'!$X$4:$X$62,TRUE)
+COUNTIFS(' CVM'!$E$4:$E$62,$E50,' CVM'!$Z$4:$Z$62,TRUE)
+COUNTIFS(' CVM'!$E$4:$E$62,$E50,' CVM'!$AB$4:$AB$62,TRUE)
+COUNTIFS(' CVM'!$E$4:$E$62,$E50,' CVM'!$AD$4:$AD$62,TRUE)
+COUNTIFS(' CVM'!$E$4:$E$62,$E50,' CVM'!$AF$4:$AF$62,TRUE)
+COUNTIFS(' CVM'!$E$4:$E$62,$E50,' CVM'!$AH$4:$AH$62,TRUE)</f>
        <v>0</v>
      </c>
      <c r="K50" s="124"/>
      <c r="L50" s="125" t="b">
        <v>0</v>
      </c>
      <c r="M50" s="119"/>
      <c r="N50" s="125" t="b">
        <v>0</v>
      </c>
      <c r="O50" s="124"/>
      <c r="P50" s="125" t="b">
        <v>0</v>
      </c>
      <c r="Q50" s="124"/>
      <c r="R50" s="125" t="b">
        <v>0</v>
      </c>
      <c r="S50" s="124"/>
      <c r="T50" s="125" t="b">
        <v>0</v>
      </c>
      <c r="U50" s="124"/>
      <c r="V50" s="125" t="b">
        <v>0</v>
      </c>
      <c r="W50" s="124"/>
      <c r="X50" s="125" t="b">
        <v>0</v>
      </c>
      <c r="Y50" s="124"/>
      <c r="Z50" s="125" t="b">
        <v>0</v>
      </c>
      <c r="AA50" s="124"/>
      <c r="AB50" s="125" t="b">
        <v>0</v>
      </c>
      <c r="AC50" s="124"/>
      <c r="AD50" s="125" t="b">
        <v>0</v>
      </c>
      <c r="AE50" s="124"/>
      <c r="AF50" s="125" t="b">
        <v>0</v>
      </c>
      <c r="AG50" s="124"/>
      <c r="AH50" s="126" t="b">
        <v>0</v>
      </c>
    </row>
    <row r="51" spans="1:34" ht="16.5">
      <c r="A51" s="117">
        <v>48</v>
      </c>
      <c r="B51" s="131" t="str">
        <f>Database!U52</f>
        <v>NSW (North)</v>
      </c>
      <c r="C51" s="131">
        <f>Database!V52</f>
        <v>29121</v>
      </c>
      <c r="D51" s="130" t="s">
        <v>549</v>
      </c>
      <c r="E51" s="127" t="str">
        <f>Database!W52</f>
        <v>TOTALLY WORKWEAR  KOTARA</v>
      </c>
      <c r="F51" s="220" t="str">
        <f>Database!X52</f>
        <v>TOTALLY WORKWEAR PORT KOTARA</v>
      </c>
      <c r="G51" s="220"/>
      <c r="H51" s="166">
        <f>_xlfn.LET(
 _xlpm.n,TRIM(SUBSTITUTE($C51,CHAR(160),"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46058</v>
      </c>
      <c r="I51" s="167" cm="1">
        <f t="array" ref="I51">_xlfn.LET(
  _xlpm.r, K51:AG51,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51" s="167">
        <f>COUNTIFS(' CVM'!$E$4:$E$62,$E51,' CVM'!$L$4:$L$62,TRUE)
+COUNTIFS(' CVM'!$E$4:$E$62,$E51,' CVM'!$N$4:$N$62,TRUE)
+COUNTIFS(' CVM'!$E$4:$E$62,$E51,' CVM'!$P$4:$P$62,TRUE)
+COUNTIFS(' CVM'!$E$4:$E$62,$E51,' CVM'!$R$4:$R$62,TRUE)
+COUNTIFS(' CVM'!$E$4:$E$62,$E51,' CVM'!$T$4:$T$62,TRUE)
+COUNTIFS(' CVM'!$E$4:$E$62,$E51,' CVM'!$V$4:$V$62,TRUE)
+COUNTIFS(' CVM'!$E$4:$E$62,$E51,' CVM'!$X$4:$X$62,TRUE)
+COUNTIFS(' CVM'!$E$4:$E$62,$E51,' CVM'!$Z$4:$Z$62,TRUE)
+COUNTIFS(' CVM'!$E$4:$E$62,$E51,' CVM'!$AB$4:$AB$62,TRUE)
+COUNTIFS(' CVM'!$E$4:$E$62,$E51,' CVM'!$AD$4:$AD$62,TRUE)
+COUNTIFS(' CVM'!$E$4:$E$62,$E51,' CVM'!$AF$4:$AF$62,TRUE)
+COUNTIFS(' CVM'!$E$4:$E$62,$E51,' CVM'!$AH$4:$AH$62,TRUE)</f>
        <v>1</v>
      </c>
      <c r="K51" s="124"/>
      <c r="L51" s="125" t="b">
        <v>0</v>
      </c>
      <c r="M51" s="119">
        <v>46058</v>
      </c>
      <c r="N51" s="125" t="b">
        <v>1</v>
      </c>
      <c r="O51" s="124"/>
      <c r="P51" s="125" t="b">
        <v>0</v>
      </c>
      <c r="Q51" s="124"/>
      <c r="R51" s="125" t="b">
        <v>0</v>
      </c>
      <c r="S51" s="124"/>
      <c r="T51" s="125" t="b">
        <v>0</v>
      </c>
      <c r="U51" s="124"/>
      <c r="V51" s="125" t="b">
        <v>0</v>
      </c>
      <c r="W51" s="124"/>
      <c r="X51" s="125" t="b">
        <v>0</v>
      </c>
      <c r="Y51" s="124"/>
      <c r="Z51" s="125" t="b">
        <v>0</v>
      </c>
      <c r="AA51" s="124"/>
      <c r="AB51" s="125" t="b">
        <v>0</v>
      </c>
      <c r="AC51" s="124"/>
      <c r="AD51" s="125" t="b">
        <v>0</v>
      </c>
      <c r="AE51" s="124"/>
      <c r="AF51" s="125" t="b">
        <v>0</v>
      </c>
      <c r="AG51" s="124"/>
      <c r="AH51" s="126" t="b">
        <v>0</v>
      </c>
    </row>
    <row r="52" spans="1:34" ht="16.5">
      <c r="A52" s="117">
        <v>49</v>
      </c>
      <c r="B52" s="131" t="str">
        <f>Database!U53</f>
        <v>NSW (North)</v>
      </c>
      <c r="C52" s="131">
        <f>Database!V53</f>
        <v>29956</v>
      </c>
      <c r="D52" s="130" t="s">
        <v>550</v>
      </c>
      <c r="E52" s="127" t="str">
        <f>Database!W53</f>
        <v>TOTALLY WORKWEAR CENTRAL COAST</v>
      </c>
      <c r="F52" s="220" t="str">
        <f>Database!X53</f>
        <v>TOTALLY WORKWEAR CENTRAL COAST</v>
      </c>
      <c r="G52" s="220"/>
      <c r="H52" s="166">
        <f>_xlfn.LET(
 _xlpm.n,TRIM(SUBSTITUTE($C52,CHAR(160),"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46057</v>
      </c>
      <c r="I52" s="167" cm="1">
        <f t="array" ref="I52">_xlfn.LET(
  _xlpm.r, K52:AG52,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52" s="167">
        <f>COUNTIFS(' CVM'!$E$4:$E$62,$E52,' CVM'!$L$4:$L$62,TRUE)
+COUNTIFS(' CVM'!$E$4:$E$62,$E52,' CVM'!$N$4:$N$62,TRUE)
+COUNTIFS(' CVM'!$E$4:$E$62,$E52,' CVM'!$P$4:$P$62,TRUE)
+COUNTIFS(' CVM'!$E$4:$E$62,$E52,' CVM'!$R$4:$R$62,TRUE)
+COUNTIFS(' CVM'!$E$4:$E$62,$E52,' CVM'!$T$4:$T$62,TRUE)
+COUNTIFS(' CVM'!$E$4:$E$62,$E52,' CVM'!$V$4:$V$62,TRUE)
+COUNTIFS(' CVM'!$E$4:$E$62,$E52,' CVM'!$X$4:$X$62,TRUE)
+COUNTIFS(' CVM'!$E$4:$E$62,$E52,' CVM'!$Z$4:$Z$62,TRUE)
+COUNTIFS(' CVM'!$E$4:$E$62,$E52,' CVM'!$AB$4:$AB$62,TRUE)
+COUNTIFS(' CVM'!$E$4:$E$62,$E52,' CVM'!$AD$4:$AD$62,TRUE)
+COUNTIFS(' CVM'!$E$4:$E$62,$E52,' CVM'!$AF$4:$AF$62,TRUE)
+COUNTIFS(' CVM'!$E$4:$E$62,$E52,' CVM'!$AH$4:$AH$62,TRUE)</f>
        <v>1</v>
      </c>
      <c r="K52" s="124"/>
      <c r="L52" s="125" t="b">
        <v>0</v>
      </c>
      <c r="M52" s="119">
        <v>46057</v>
      </c>
      <c r="N52" s="125" t="b">
        <v>1</v>
      </c>
      <c r="O52" s="124"/>
      <c r="P52" s="125" t="b">
        <v>0</v>
      </c>
      <c r="Q52" s="124"/>
      <c r="R52" s="125" t="b">
        <v>0</v>
      </c>
      <c r="S52" s="124"/>
      <c r="T52" s="125" t="b">
        <v>0</v>
      </c>
      <c r="U52" s="124"/>
      <c r="V52" s="125" t="b">
        <v>0</v>
      </c>
      <c r="W52" s="124"/>
      <c r="X52" s="125" t="b">
        <v>0</v>
      </c>
      <c r="Y52" s="124"/>
      <c r="Z52" s="125" t="b">
        <v>0</v>
      </c>
      <c r="AA52" s="124"/>
      <c r="AB52" s="125" t="b">
        <v>0</v>
      </c>
      <c r="AC52" s="124"/>
      <c r="AD52" s="125" t="b">
        <v>0</v>
      </c>
      <c r="AE52" s="124"/>
      <c r="AF52" s="125" t="b">
        <v>0</v>
      </c>
      <c r="AG52" s="124"/>
      <c r="AH52" s="126" t="b">
        <v>0</v>
      </c>
    </row>
    <row r="53" spans="1:34" ht="16.5">
      <c r="A53" s="117">
        <v>50</v>
      </c>
      <c r="B53" s="131" t="str">
        <f>Database!U54</f>
        <v>NSW (North)</v>
      </c>
      <c r="C53" s="131">
        <f>Database!V54</f>
        <v>29858</v>
      </c>
      <c r="D53" s="130" t="s">
        <v>548</v>
      </c>
      <c r="E53" s="127" t="str">
        <f>Database!W54</f>
        <v>TOTALLY WORKWEAR TAMWORTH</v>
      </c>
      <c r="F53" s="220" t="str">
        <f>Database!X54</f>
        <v>TOTALLY WORKWEAR  TAMWORTH</v>
      </c>
      <c r="G53" s="220"/>
      <c r="H53" s="166">
        <f>_xlfn.LET(
 _xlpm.n,TRIM(SUBSTITUTE($C53,CHAR(160),"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46065</v>
      </c>
      <c r="I53" s="167" cm="1">
        <f t="array" ref="I53">_xlfn.LET(
  _xlpm.r, K53:AG53,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53" s="167">
        <f>COUNTIFS(' CVM'!$E$4:$E$62,$E53,' CVM'!$L$4:$L$62,TRUE)
+COUNTIFS(' CVM'!$E$4:$E$62,$E53,' CVM'!$N$4:$N$62,TRUE)
+COUNTIFS(' CVM'!$E$4:$E$62,$E53,' CVM'!$P$4:$P$62,TRUE)
+COUNTIFS(' CVM'!$E$4:$E$62,$E53,' CVM'!$R$4:$R$62,TRUE)
+COUNTIFS(' CVM'!$E$4:$E$62,$E53,' CVM'!$T$4:$T$62,TRUE)
+COUNTIFS(' CVM'!$E$4:$E$62,$E53,' CVM'!$V$4:$V$62,TRUE)
+COUNTIFS(' CVM'!$E$4:$E$62,$E53,' CVM'!$X$4:$X$62,TRUE)
+COUNTIFS(' CVM'!$E$4:$E$62,$E53,' CVM'!$Z$4:$Z$62,TRUE)
+COUNTIFS(' CVM'!$E$4:$E$62,$E53,' CVM'!$AB$4:$AB$62,TRUE)
+COUNTIFS(' CVM'!$E$4:$E$62,$E53,' CVM'!$AD$4:$AD$62,TRUE)
+COUNTIFS(' CVM'!$E$4:$E$62,$E53,' CVM'!$AF$4:$AF$62,TRUE)
+COUNTIFS(' CVM'!$E$4:$E$62,$E53,' CVM'!$AH$4:$AH$62,TRUE)</f>
        <v>1</v>
      </c>
      <c r="K53" s="124"/>
      <c r="L53" s="125" t="b">
        <v>0</v>
      </c>
      <c r="M53" s="119">
        <v>46065</v>
      </c>
      <c r="N53" s="125" t="b">
        <v>1</v>
      </c>
      <c r="O53" s="124"/>
      <c r="P53" s="125" t="b">
        <v>0</v>
      </c>
      <c r="Q53" s="124"/>
      <c r="R53" s="125" t="b">
        <v>0</v>
      </c>
      <c r="S53" s="124"/>
      <c r="T53" s="125" t="b">
        <v>0</v>
      </c>
      <c r="U53" s="124"/>
      <c r="V53" s="125" t="b">
        <v>0</v>
      </c>
      <c r="W53" s="124"/>
      <c r="X53" s="125" t="b">
        <v>0</v>
      </c>
      <c r="Y53" s="124"/>
      <c r="Z53" s="125" t="b">
        <v>0</v>
      </c>
      <c r="AA53" s="124"/>
      <c r="AB53" s="125" t="b">
        <v>0</v>
      </c>
      <c r="AC53" s="124"/>
      <c r="AD53" s="125" t="b">
        <v>0</v>
      </c>
      <c r="AE53" s="124"/>
      <c r="AF53" s="125" t="b">
        <v>0</v>
      </c>
      <c r="AG53" s="124"/>
      <c r="AH53" s="126" t="b">
        <v>0</v>
      </c>
    </row>
    <row r="54" spans="1:34" ht="16.5">
      <c r="A54" s="117">
        <v>51</v>
      </c>
      <c r="B54" s="131" t="str">
        <f>Database!U55</f>
        <v>NSW (North)</v>
      </c>
      <c r="C54" s="131">
        <f>Database!V55</f>
        <v>29442</v>
      </c>
      <c r="D54" s="130" t="s">
        <v>551</v>
      </c>
      <c r="E54" s="127" t="str">
        <f>Database!W55</f>
        <v>UNCI GROUP PTY LTD T/AS THINK SAFETY</v>
      </c>
      <c r="F54" s="220" t="str">
        <f>Database!X55</f>
        <v>THINK SAFETY</v>
      </c>
      <c r="G54" s="220"/>
      <c r="H54" s="166">
        <v>46071</v>
      </c>
      <c r="I54" s="167" cm="1">
        <f t="array" ref="I54">_xlfn.LET(
  _xlpm.r, K54:AG54,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54" s="167">
        <f>COUNTIFS(' CVM'!$E$4:$E$62,$E54,' CVM'!$L$4:$L$62,TRUE)
+COUNTIFS(' CVM'!$E$4:$E$62,$E54,' CVM'!$N$4:$N$62,TRUE)
+COUNTIFS(' CVM'!$E$4:$E$62,$E54,' CVM'!$P$4:$P$62,TRUE)
+COUNTIFS(' CVM'!$E$4:$E$62,$E54,' CVM'!$R$4:$R$62,TRUE)
+COUNTIFS(' CVM'!$E$4:$E$62,$E54,' CVM'!$T$4:$T$62,TRUE)
+COUNTIFS(' CVM'!$E$4:$E$62,$E54,' CVM'!$V$4:$V$62,TRUE)
+COUNTIFS(' CVM'!$E$4:$E$62,$E54,' CVM'!$X$4:$X$62,TRUE)
+COUNTIFS(' CVM'!$E$4:$E$62,$E54,' CVM'!$Z$4:$Z$62,TRUE)
+COUNTIFS(' CVM'!$E$4:$E$62,$E54,' CVM'!$AB$4:$AB$62,TRUE)
+COUNTIFS(' CVM'!$E$4:$E$62,$E54,' CVM'!$AD$4:$AD$62,TRUE)
+COUNTIFS(' CVM'!$E$4:$E$62,$E54,' CVM'!$AF$4:$AF$62,TRUE)
+COUNTIFS(' CVM'!$E$4:$E$62,$E54,' CVM'!$AH$4:$AH$62,TRUE)</f>
        <v>0</v>
      </c>
      <c r="K54" s="124"/>
      <c r="L54" s="125" t="b">
        <v>0</v>
      </c>
      <c r="M54" s="119"/>
      <c r="N54" s="125" t="b">
        <v>0</v>
      </c>
      <c r="O54" s="124"/>
      <c r="P54" s="125" t="b">
        <v>0</v>
      </c>
      <c r="Q54" s="124"/>
      <c r="R54" s="125" t="b">
        <v>0</v>
      </c>
      <c r="S54" s="124"/>
      <c r="T54" s="125" t="b">
        <v>0</v>
      </c>
      <c r="U54" s="124"/>
      <c r="V54" s="125" t="b">
        <v>0</v>
      </c>
      <c r="W54" s="124"/>
      <c r="X54" s="125" t="b">
        <v>0</v>
      </c>
      <c r="Y54" s="124"/>
      <c r="Z54" s="125" t="b">
        <v>0</v>
      </c>
      <c r="AA54" s="124"/>
      <c r="AB54" s="125" t="b">
        <v>0</v>
      </c>
      <c r="AC54" s="124"/>
      <c r="AD54" s="125" t="b">
        <v>0</v>
      </c>
      <c r="AE54" s="124"/>
      <c r="AF54" s="125" t="b">
        <v>0</v>
      </c>
      <c r="AG54" s="124"/>
      <c r="AH54" s="126" t="b">
        <v>0</v>
      </c>
    </row>
    <row r="55" spans="1:34" ht="16.5">
      <c r="A55" s="117">
        <v>52</v>
      </c>
      <c r="B55" s="131" t="str">
        <f>Database!U56</f>
        <v>NSW (North)</v>
      </c>
      <c r="C55" s="131">
        <f>Database!V56</f>
        <v>29471</v>
      </c>
      <c r="D55" s="130" t="s">
        <v>550</v>
      </c>
      <c r="E55" s="127" t="str">
        <f>Database!W56</f>
        <v>WORKIN GEAR GOSFORD</v>
      </c>
      <c r="F55" s="220" t="str">
        <f>Database!X56</f>
        <v>WORKIN GEAR GOSFORD</v>
      </c>
      <c r="G55" s="220"/>
      <c r="H55" s="166">
        <f>_xlfn.LET(
 _xlpm.n,TRIM(SUBSTITUTE($C55,CHAR(160),"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46057</v>
      </c>
      <c r="I55" s="167" cm="1">
        <f t="array" ref="I55">_xlfn.LET(
  _xlpm.r, K55:AG55,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55" s="167">
        <f>COUNTIFS(' CVM'!$E$4:$E$62,$E55,' CVM'!$L$4:$L$62,TRUE)
+COUNTIFS(' CVM'!$E$4:$E$62,$E55,' CVM'!$N$4:$N$62,TRUE)
+COUNTIFS(' CVM'!$E$4:$E$62,$E55,' CVM'!$P$4:$P$62,TRUE)
+COUNTIFS(' CVM'!$E$4:$E$62,$E55,' CVM'!$R$4:$R$62,TRUE)
+COUNTIFS(' CVM'!$E$4:$E$62,$E55,' CVM'!$T$4:$T$62,TRUE)
+COUNTIFS(' CVM'!$E$4:$E$62,$E55,' CVM'!$V$4:$V$62,TRUE)
+COUNTIFS(' CVM'!$E$4:$E$62,$E55,' CVM'!$X$4:$X$62,TRUE)
+COUNTIFS(' CVM'!$E$4:$E$62,$E55,' CVM'!$Z$4:$Z$62,TRUE)
+COUNTIFS(' CVM'!$E$4:$E$62,$E55,' CVM'!$AB$4:$AB$62,TRUE)
+COUNTIFS(' CVM'!$E$4:$E$62,$E55,' CVM'!$AD$4:$AD$62,TRUE)
+COUNTIFS(' CVM'!$E$4:$E$62,$E55,' CVM'!$AF$4:$AF$62,TRUE)
+COUNTIFS(' CVM'!$E$4:$E$62,$E55,' CVM'!$AH$4:$AH$62,TRUE)</f>
        <v>1</v>
      </c>
      <c r="K55" s="124"/>
      <c r="L55" s="125" t="b">
        <v>0</v>
      </c>
      <c r="M55" s="119">
        <v>46057</v>
      </c>
      <c r="N55" s="125" t="b">
        <v>1</v>
      </c>
      <c r="O55" s="124"/>
      <c r="P55" s="125" t="b">
        <v>0</v>
      </c>
      <c r="Q55" s="124"/>
      <c r="R55" s="125" t="b">
        <v>0</v>
      </c>
      <c r="S55" s="124"/>
      <c r="T55" s="125" t="b">
        <v>0</v>
      </c>
      <c r="U55" s="124"/>
      <c r="V55" s="125" t="b">
        <v>0</v>
      </c>
      <c r="W55" s="124"/>
      <c r="X55" s="125" t="b">
        <v>0</v>
      </c>
      <c r="Y55" s="124"/>
      <c r="Z55" s="125" t="b">
        <v>0</v>
      </c>
      <c r="AA55" s="124"/>
      <c r="AB55" s="125" t="b">
        <v>0</v>
      </c>
      <c r="AC55" s="124"/>
      <c r="AD55" s="125" t="b">
        <v>0</v>
      </c>
      <c r="AE55" s="124"/>
      <c r="AF55" s="125" t="b">
        <v>0</v>
      </c>
      <c r="AG55" s="124"/>
      <c r="AH55" s="126" t="b">
        <v>0</v>
      </c>
    </row>
    <row r="56" spans="1:34" ht="16.5">
      <c r="A56" s="117">
        <v>53</v>
      </c>
      <c r="B56" s="131" t="str">
        <f>Database!U57</f>
        <v>NSW (North)</v>
      </c>
      <c r="C56" s="131">
        <f>Database!V57</f>
        <v>27354</v>
      </c>
      <c r="D56" s="130" t="s">
        <v>549</v>
      </c>
      <c r="E56" s="127" t="str">
        <f>Database!W57</f>
        <v>WORKWEAR MORISSET PTY LTD</v>
      </c>
      <c r="F56" s="220" t="str">
        <f>Database!X57</f>
        <v>WORKWEAR MORISSET PTY LTD</v>
      </c>
      <c r="G56" s="220"/>
      <c r="H56" s="166">
        <f>_xlfn.LET(
 _xlpm.n,TRIM(SUBSTITUTE($C56,CHAR(160),"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>46057</v>
      </c>
      <c r="I56" s="167" cm="1">
        <f t="array" ref="I56">_xlfn.LET(
  _xlpm.r, K56:AG56,
  _xlpm.planned, _xlfn.CHOOSECOLS(_xlpm.r,1,3,5,7,9,11,13,15,17,19,21,23),
  _xlpm.t, _xlpm.planned&amp;"",
  _xlpm.d, IFERROR(--_xlpm.planned, IFERROR(DATEVALUE(IFERROR(_xlfn.TEXTAFTER(_xlpm.t,", "), _xlpm.t)), 0)),
  SUM(--(_xlpm.d&gt;0))
)</f>
        <v>1</v>
      </c>
      <c r="J56" s="167">
        <f>COUNTIFS(' CVM'!$E$4:$E$62,$E56,' CVM'!$L$4:$L$62,TRUE)
+COUNTIFS(' CVM'!$E$4:$E$62,$E56,' CVM'!$N$4:$N$62,TRUE)
+COUNTIFS(' CVM'!$E$4:$E$62,$E56,' CVM'!$P$4:$P$62,TRUE)
+COUNTIFS(' CVM'!$E$4:$E$62,$E56,' CVM'!$R$4:$R$62,TRUE)
+COUNTIFS(' CVM'!$E$4:$E$62,$E56,' CVM'!$T$4:$T$62,TRUE)
+COUNTIFS(' CVM'!$E$4:$E$62,$E56,' CVM'!$V$4:$V$62,TRUE)
+COUNTIFS(' CVM'!$E$4:$E$62,$E56,' CVM'!$X$4:$X$62,TRUE)
+COUNTIFS(' CVM'!$E$4:$E$62,$E56,' CVM'!$Z$4:$Z$62,TRUE)
+COUNTIFS(' CVM'!$E$4:$E$62,$E56,' CVM'!$AB$4:$AB$62,TRUE)
+COUNTIFS(' CVM'!$E$4:$E$62,$E56,' CVM'!$AD$4:$AD$62,TRUE)
+COUNTIFS(' CVM'!$E$4:$E$62,$E56,' CVM'!$AF$4:$AF$62,TRUE)
+COUNTIFS(' CVM'!$E$4:$E$62,$E56,' CVM'!$AH$4:$AH$62,TRUE)</f>
        <v>1</v>
      </c>
      <c r="K56" s="124"/>
      <c r="L56" s="125" t="b">
        <v>0</v>
      </c>
      <c r="M56" s="119">
        <v>46057</v>
      </c>
      <c r="N56" s="125" t="b">
        <v>1</v>
      </c>
      <c r="O56" s="124"/>
      <c r="P56" s="125" t="b">
        <v>0</v>
      </c>
      <c r="Q56" s="124"/>
      <c r="R56" s="125" t="b">
        <v>0</v>
      </c>
      <c r="S56" s="124"/>
      <c r="T56" s="125" t="b">
        <v>0</v>
      </c>
      <c r="U56" s="124"/>
      <c r="V56" s="125" t="b">
        <v>0</v>
      </c>
      <c r="W56" s="124"/>
      <c r="X56" s="125" t="b">
        <v>0</v>
      </c>
      <c r="Y56" s="124"/>
      <c r="Z56" s="125" t="b">
        <v>0</v>
      </c>
      <c r="AA56" s="124"/>
      <c r="AB56" s="125" t="b">
        <v>0</v>
      </c>
      <c r="AC56" s="124"/>
      <c r="AD56" s="125" t="b">
        <v>0</v>
      </c>
      <c r="AE56" s="124"/>
      <c r="AF56" s="125" t="b">
        <v>0</v>
      </c>
      <c r="AG56" s="124"/>
      <c r="AH56" s="126" t="b">
        <v>0</v>
      </c>
    </row>
    <row r="57" spans="1:34" ht="16.5">
      <c r="A57" s="117">
        <v>54</v>
      </c>
      <c r="B57" s="131" t="str">
        <f>Database!U58</f>
        <v>NSW (North)</v>
      </c>
      <c r="C57" s="131">
        <f>Database!V58</f>
        <v>27357</v>
      </c>
      <c r="D57" s="130" t="s">
        <v>549</v>
      </c>
      <c r="E57" s="127" t="str">
        <f>Database!W58</f>
        <v>WORKWEAR WARNERS BAY PTY LTD</v>
      </c>
      <c r="F57" s="220" t="str">
        <f>Database!X58</f>
        <v>WORKWEAR WARNERS BAY PTY LTD</v>
      </c>
      <c r="G57" s="220"/>
      <c r="H57" s="166" t="str">
        <f>_xlfn.LET(
 _xlpm.n,TRIM(SUBSTITUTE($C57,CHAR(160),"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57" s="167" cm="1">
        <f t="array" ref="I57">_xlfn.LET(
  _xlpm.r, K57:AG57,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57" s="167">
        <f>COUNTIFS(' CVM'!$E$4:$E$62,$E57,' CVM'!$L$4:$L$62,TRUE)
+COUNTIFS(' CVM'!$E$4:$E$62,$E57,' CVM'!$N$4:$N$62,TRUE)
+COUNTIFS(' CVM'!$E$4:$E$62,$E57,' CVM'!$P$4:$P$62,TRUE)
+COUNTIFS(' CVM'!$E$4:$E$62,$E57,' CVM'!$R$4:$R$62,TRUE)
+COUNTIFS(' CVM'!$E$4:$E$62,$E57,' CVM'!$T$4:$T$62,TRUE)
+COUNTIFS(' CVM'!$E$4:$E$62,$E57,' CVM'!$V$4:$V$62,TRUE)
+COUNTIFS(' CVM'!$E$4:$E$62,$E57,' CVM'!$X$4:$X$62,TRUE)
+COUNTIFS(' CVM'!$E$4:$E$62,$E57,' CVM'!$Z$4:$Z$62,TRUE)
+COUNTIFS(' CVM'!$E$4:$E$62,$E57,' CVM'!$AB$4:$AB$62,TRUE)
+COUNTIFS(' CVM'!$E$4:$E$62,$E57,' CVM'!$AD$4:$AD$62,TRUE)
+COUNTIFS(' CVM'!$E$4:$E$62,$E57,' CVM'!$AF$4:$AF$62,TRUE)
+COUNTIFS(' CVM'!$E$4:$E$62,$E57,' CVM'!$AH$4:$AH$62,TRUE)</f>
        <v>0</v>
      </c>
      <c r="K57" s="124"/>
      <c r="L57" s="125" t="b">
        <v>0</v>
      </c>
      <c r="M57" s="119"/>
      <c r="N57" s="125" t="b">
        <v>0</v>
      </c>
      <c r="O57" s="124"/>
      <c r="P57" s="125" t="b">
        <v>0</v>
      </c>
      <c r="Q57" s="124"/>
      <c r="R57" s="125" t="b">
        <v>0</v>
      </c>
      <c r="S57" s="124"/>
      <c r="T57" s="125" t="b">
        <v>0</v>
      </c>
      <c r="U57" s="124"/>
      <c r="V57" s="125" t="b">
        <v>0</v>
      </c>
      <c r="W57" s="124"/>
      <c r="X57" s="125" t="b">
        <v>0</v>
      </c>
      <c r="Y57" s="124"/>
      <c r="Z57" s="125" t="b">
        <v>0</v>
      </c>
      <c r="AA57" s="124"/>
      <c r="AB57" s="125" t="b">
        <v>0</v>
      </c>
      <c r="AC57" s="124"/>
      <c r="AD57" s="125" t="b">
        <v>0</v>
      </c>
      <c r="AE57" s="124"/>
      <c r="AF57" s="125" t="b">
        <v>0</v>
      </c>
      <c r="AG57" s="124"/>
      <c r="AH57" s="126" t="b">
        <v>0</v>
      </c>
    </row>
    <row r="58" spans="1:34" ht="16.5">
      <c r="A58" s="117">
        <v>55</v>
      </c>
      <c r="B58" s="131" t="str">
        <f>Database!U59</f>
        <v>NSW (North)</v>
      </c>
      <c r="C58" s="131">
        <f>Database!V59</f>
        <v>27564</v>
      </c>
      <c r="D58" s="130" t="s">
        <v>551</v>
      </c>
      <c r="E58" s="127" t="str">
        <f>Database!W59</f>
        <v>WORKWISE CLOTHING PTY LTD</v>
      </c>
      <c r="F58" s="220" t="str">
        <f>Database!X59</f>
        <v>WORKWISE CLOTHING PTY LTD</v>
      </c>
      <c r="G58" s="220"/>
      <c r="H58" s="166">
        <v>46071</v>
      </c>
      <c r="I58" s="167" cm="1">
        <f t="array" ref="I58">_xlfn.LET(
  _xlpm.r, K58:AG58,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58" s="167">
        <f>COUNTIFS(' CVM'!$E$4:$E$62,$E58,' CVM'!$L$4:$L$62,TRUE)
+COUNTIFS(' CVM'!$E$4:$E$62,$E58,' CVM'!$N$4:$N$62,TRUE)
+COUNTIFS(' CVM'!$E$4:$E$62,$E58,' CVM'!$P$4:$P$62,TRUE)
+COUNTIFS(' CVM'!$E$4:$E$62,$E58,' CVM'!$R$4:$R$62,TRUE)
+COUNTIFS(' CVM'!$E$4:$E$62,$E58,' CVM'!$T$4:$T$62,TRUE)
+COUNTIFS(' CVM'!$E$4:$E$62,$E58,' CVM'!$V$4:$V$62,TRUE)
+COUNTIFS(' CVM'!$E$4:$E$62,$E58,' CVM'!$X$4:$X$62,TRUE)
+COUNTIFS(' CVM'!$E$4:$E$62,$E58,' CVM'!$Z$4:$Z$62,TRUE)
+COUNTIFS(' CVM'!$E$4:$E$62,$E58,' CVM'!$AB$4:$AB$62,TRUE)
+COUNTIFS(' CVM'!$E$4:$E$62,$E58,' CVM'!$AD$4:$AD$62,TRUE)
+COUNTIFS(' CVM'!$E$4:$E$62,$E58,' CVM'!$AF$4:$AF$62,TRUE)
+COUNTIFS(' CVM'!$E$4:$E$62,$E58,' CVM'!$AH$4:$AH$62,TRUE)</f>
        <v>0</v>
      </c>
      <c r="K58" s="124"/>
      <c r="L58" s="125" t="b">
        <v>0</v>
      </c>
      <c r="M58" s="119"/>
      <c r="N58" s="125" t="b">
        <v>0</v>
      </c>
      <c r="O58" s="124"/>
      <c r="P58" s="125" t="b">
        <v>0</v>
      </c>
      <c r="Q58" s="124"/>
      <c r="R58" s="125" t="b">
        <v>0</v>
      </c>
      <c r="S58" s="124"/>
      <c r="T58" s="125" t="b">
        <v>0</v>
      </c>
      <c r="U58" s="124"/>
      <c r="V58" s="125" t="b">
        <v>0</v>
      </c>
      <c r="W58" s="124"/>
      <c r="X58" s="125" t="b">
        <v>0</v>
      </c>
      <c r="Y58" s="124"/>
      <c r="Z58" s="125" t="b">
        <v>0</v>
      </c>
      <c r="AA58" s="124"/>
      <c r="AB58" s="125" t="b">
        <v>0</v>
      </c>
      <c r="AC58" s="124"/>
      <c r="AD58" s="125" t="b">
        <v>0</v>
      </c>
      <c r="AE58" s="124"/>
      <c r="AF58" s="125" t="b">
        <v>0</v>
      </c>
      <c r="AG58" s="124"/>
      <c r="AH58" s="126" t="b">
        <v>0</v>
      </c>
    </row>
    <row r="59" spans="1:34">
      <c r="A59" s="117">
        <v>56</v>
      </c>
      <c r="B59" s="131">
        <f>Database!U60</f>
        <v>0</v>
      </c>
      <c r="C59" s="131">
        <f>Database!V60</f>
        <v>0</v>
      </c>
      <c r="D59" s="130"/>
      <c r="E59" s="127">
        <f>Database!W60</f>
        <v>0</v>
      </c>
      <c r="F59" s="220" t="str">
        <f>Database!X60</f>
        <v xml:space="preserve"> </v>
      </c>
      <c r="G59" s="220"/>
      <c r="H59" s="166" t="str">
        <f>_xlfn.LET(
 _xlpm.n,TRIM(SUBSTITUTE($C59,CHAR(160),"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59" s="167" cm="1">
        <f t="array" ref="I59">_xlfn.LET(
  _xlpm.r, K59:AG59,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59" s="167">
        <f>COUNTIFS(' CVM'!$E$4:$E$62,$E59,' CVM'!$L$4:$L$62,TRUE)
+COUNTIFS(' CVM'!$E$4:$E$62,$E59,' CVM'!$N$4:$N$62,TRUE)
+COUNTIFS(' CVM'!$E$4:$E$62,$E59,' CVM'!$P$4:$P$62,TRUE)
+COUNTIFS(' CVM'!$E$4:$E$62,$E59,' CVM'!$R$4:$R$62,TRUE)
+COUNTIFS(' CVM'!$E$4:$E$62,$E59,' CVM'!$T$4:$T$62,TRUE)
+COUNTIFS(' CVM'!$E$4:$E$62,$E59,' CVM'!$V$4:$V$62,TRUE)
+COUNTIFS(' CVM'!$E$4:$E$62,$E59,' CVM'!$X$4:$X$62,TRUE)
+COUNTIFS(' CVM'!$E$4:$E$62,$E59,' CVM'!$Z$4:$Z$62,TRUE)
+COUNTIFS(' CVM'!$E$4:$E$62,$E59,' CVM'!$AB$4:$AB$62,TRUE)
+COUNTIFS(' CVM'!$E$4:$E$62,$E59,' CVM'!$AD$4:$AD$62,TRUE)
+COUNTIFS(' CVM'!$E$4:$E$62,$E59,' CVM'!$AF$4:$AF$62,TRUE)
+COUNTIFS(' CVM'!$E$4:$E$62,$E59,' CVM'!$AH$4:$AH$62,TRUE)</f>
        <v>0</v>
      </c>
      <c r="K59" s="124"/>
      <c r="L59" s="125" t="b">
        <v>0</v>
      </c>
      <c r="M59" s="124"/>
      <c r="N59" s="125" t="b">
        <v>0</v>
      </c>
      <c r="O59" s="124"/>
      <c r="P59" s="125" t="b">
        <v>0</v>
      </c>
      <c r="Q59" s="124"/>
      <c r="R59" s="125" t="b">
        <v>0</v>
      </c>
      <c r="S59" s="124"/>
      <c r="T59" s="125" t="b">
        <v>0</v>
      </c>
      <c r="U59" s="124"/>
      <c r="V59" s="125" t="b">
        <v>0</v>
      </c>
      <c r="W59" s="124"/>
      <c r="X59" s="125" t="b">
        <v>0</v>
      </c>
      <c r="Y59" s="124"/>
      <c r="Z59" s="125" t="b">
        <v>0</v>
      </c>
      <c r="AA59" s="124"/>
      <c r="AB59" s="125" t="b">
        <v>0</v>
      </c>
      <c r="AC59" s="124"/>
      <c r="AD59" s="125" t="b">
        <v>0</v>
      </c>
      <c r="AE59" s="124"/>
      <c r="AF59" s="125" t="b">
        <v>0</v>
      </c>
      <c r="AG59" s="124"/>
      <c r="AH59" s="126" t="b">
        <v>0</v>
      </c>
    </row>
    <row r="60" spans="1:34">
      <c r="A60" s="117">
        <v>57</v>
      </c>
      <c r="B60" s="131">
        <f>Database!U61</f>
        <v>0</v>
      </c>
      <c r="C60" s="131">
        <f>Database!V61</f>
        <v>0</v>
      </c>
      <c r="D60" s="130"/>
      <c r="E60" s="127">
        <f>Database!W61</f>
        <v>0</v>
      </c>
      <c r="F60" s="220" t="str">
        <f>Database!X61</f>
        <v xml:space="preserve"> </v>
      </c>
      <c r="G60" s="220"/>
      <c r="H60" s="166" t="str">
        <f>_xlfn.LET(
 _xlpm.n,TRIM(SUBSTITUTE($C60,CHAR(160),"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60" s="167" cm="1">
        <f t="array" ref="I60">_xlfn.LET(
  _xlpm.r, K60:AG60,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60" s="167">
        <f>COUNTIFS(' CVM'!$E$4:$E$62,$E60,' CVM'!$L$4:$L$62,TRUE)
+COUNTIFS(' CVM'!$E$4:$E$62,$E60,' CVM'!$N$4:$N$62,TRUE)
+COUNTIFS(' CVM'!$E$4:$E$62,$E60,' CVM'!$P$4:$P$62,TRUE)
+COUNTIFS(' CVM'!$E$4:$E$62,$E60,' CVM'!$R$4:$R$62,TRUE)
+COUNTIFS(' CVM'!$E$4:$E$62,$E60,' CVM'!$T$4:$T$62,TRUE)
+COUNTIFS(' CVM'!$E$4:$E$62,$E60,' CVM'!$V$4:$V$62,TRUE)
+COUNTIFS(' CVM'!$E$4:$E$62,$E60,' CVM'!$X$4:$X$62,TRUE)
+COUNTIFS(' CVM'!$E$4:$E$62,$E60,' CVM'!$Z$4:$Z$62,TRUE)
+COUNTIFS(' CVM'!$E$4:$E$62,$E60,' CVM'!$AB$4:$AB$62,TRUE)
+COUNTIFS(' CVM'!$E$4:$E$62,$E60,' CVM'!$AD$4:$AD$62,TRUE)
+COUNTIFS(' CVM'!$E$4:$E$62,$E60,' CVM'!$AF$4:$AF$62,TRUE)
+COUNTIFS(' CVM'!$E$4:$E$62,$E60,' CVM'!$AH$4:$AH$62,TRUE)</f>
        <v>0</v>
      </c>
      <c r="K60" s="124"/>
      <c r="L60" s="125" t="b">
        <v>0</v>
      </c>
      <c r="M60" s="124"/>
      <c r="N60" s="125" t="b">
        <v>0</v>
      </c>
      <c r="O60" s="124"/>
      <c r="P60" s="125" t="b">
        <v>0</v>
      </c>
      <c r="Q60" s="124"/>
      <c r="R60" s="125" t="b">
        <v>0</v>
      </c>
      <c r="S60" s="124"/>
      <c r="T60" s="125" t="b">
        <v>0</v>
      </c>
      <c r="U60" s="124"/>
      <c r="V60" s="125" t="b">
        <v>0</v>
      </c>
      <c r="W60" s="124"/>
      <c r="X60" s="125" t="b">
        <v>0</v>
      </c>
      <c r="Y60" s="124"/>
      <c r="Z60" s="125" t="b">
        <v>0</v>
      </c>
      <c r="AA60" s="124"/>
      <c r="AB60" s="125" t="b">
        <v>0</v>
      </c>
      <c r="AC60" s="124"/>
      <c r="AD60" s="125" t="b">
        <v>0</v>
      </c>
      <c r="AE60" s="124"/>
      <c r="AF60" s="125" t="b">
        <v>0</v>
      </c>
      <c r="AG60" s="124"/>
      <c r="AH60" s="126" t="b">
        <v>0</v>
      </c>
    </row>
    <row r="61" spans="1:34">
      <c r="A61" s="117">
        <v>58</v>
      </c>
      <c r="B61" s="131">
        <f>Database!U62</f>
        <v>0</v>
      </c>
      <c r="C61" s="131">
        <f>Database!V62</f>
        <v>0</v>
      </c>
      <c r="D61" s="130"/>
      <c r="E61" s="127">
        <f>Database!W62</f>
        <v>0</v>
      </c>
      <c r="F61" s="220" t="str">
        <f>Database!X62</f>
        <v xml:space="preserve"> </v>
      </c>
      <c r="G61" s="220"/>
      <c r="H61" s="166" t="str">
        <f>_xlfn.LET(
 _xlpm.n,TRIM(SUBSTITUTE($C61,CHAR(160),"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61" s="167" cm="1">
        <f t="array" ref="I61">_xlfn.LET(
  _xlpm.r, K61:AG61,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61" s="167">
        <f>COUNTIFS(' CVM'!$E$4:$E$62,$E61,' CVM'!$L$4:$L$62,TRUE)
+COUNTIFS(' CVM'!$E$4:$E$62,$E61,' CVM'!$N$4:$N$62,TRUE)
+COUNTIFS(' CVM'!$E$4:$E$62,$E61,' CVM'!$P$4:$P$62,TRUE)
+COUNTIFS(' CVM'!$E$4:$E$62,$E61,' CVM'!$R$4:$R$62,TRUE)
+COUNTIFS(' CVM'!$E$4:$E$62,$E61,' CVM'!$T$4:$T$62,TRUE)
+COUNTIFS(' CVM'!$E$4:$E$62,$E61,' CVM'!$V$4:$V$62,TRUE)
+COUNTIFS(' CVM'!$E$4:$E$62,$E61,' CVM'!$X$4:$X$62,TRUE)
+COUNTIFS(' CVM'!$E$4:$E$62,$E61,' CVM'!$Z$4:$Z$62,TRUE)
+COUNTIFS(' CVM'!$E$4:$E$62,$E61,' CVM'!$AB$4:$AB$62,TRUE)
+COUNTIFS(' CVM'!$E$4:$E$62,$E61,' CVM'!$AD$4:$AD$62,TRUE)
+COUNTIFS(' CVM'!$E$4:$E$62,$E61,' CVM'!$AF$4:$AF$62,TRUE)
+COUNTIFS(' CVM'!$E$4:$E$62,$E61,' CVM'!$AH$4:$AH$62,TRUE)</f>
        <v>0</v>
      </c>
      <c r="K61" s="124"/>
      <c r="L61" s="125" t="b">
        <v>0</v>
      </c>
      <c r="M61" s="124"/>
      <c r="N61" s="125" t="b">
        <v>0</v>
      </c>
      <c r="O61" s="124"/>
      <c r="P61" s="125" t="b">
        <v>0</v>
      </c>
      <c r="Q61" s="124"/>
      <c r="R61" s="125" t="b">
        <v>0</v>
      </c>
      <c r="S61" s="124"/>
      <c r="T61" s="125" t="b">
        <v>0</v>
      </c>
      <c r="U61" s="124"/>
      <c r="V61" s="125" t="b">
        <v>0</v>
      </c>
      <c r="W61" s="124"/>
      <c r="X61" s="125" t="b">
        <v>0</v>
      </c>
      <c r="Y61" s="124"/>
      <c r="Z61" s="125" t="b">
        <v>0</v>
      </c>
      <c r="AA61" s="124"/>
      <c r="AB61" s="125" t="b">
        <v>0</v>
      </c>
      <c r="AC61" s="124"/>
      <c r="AD61" s="125" t="b">
        <v>0</v>
      </c>
      <c r="AE61" s="124"/>
      <c r="AF61" s="125" t="b">
        <v>0</v>
      </c>
      <c r="AG61" s="124"/>
      <c r="AH61" s="126" t="b">
        <v>0</v>
      </c>
    </row>
    <row r="62" spans="1:34">
      <c r="A62" s="117">
        <v>59</v>
      </c>
      <c r="B62" s="131">
        <f>Database!U63</f>
        <v>0</v>
      </c>
      <c r="C62" s="131">
        <f>Database!V63</f>
        <v>0</v>
      </c>
      <c r="D62" s="130"/>
      <c r="E62" s="127">
        <f>Database!W63</f>
        <v>0</v>
      </c>
      <c r="F62" s="220" t="str">
        <f>Database!X63</f>
        <v xml:space="preserve"> </v>
      </c>
      <c r="G62" s="220"/>
      <c r="H62" s="166" t="str">
        <f>_xlfn.LET(
 _xlpm.n,TRIM(SUBSTITUTE($C62,CHAR(160)," ")),
 _xlpm.r,
 MAX(
  IFERROR(_xlfn.MAXIFS(' CVM'!$K:$K,$C:$C,_xlpm.n,' CVM'!$L:$L,TRUE),0),
  IFERROR(_xlfn.MAXIFS(' CVM'!$M:$M,$C:$C,_xlpm.n,' CVM'!$N:$N,TRUE),0),
  IFERROR(_xlfn.MAXIFS(' CVM'!$O:$O,$C:$C,_xlpm.n,' CVM'!$P:$P,TRUE),0),
  IFERROR(_xlfn.MAXIFS(' CVM'!$Q:$Q,$C:$C,_xlpm.n,' CVM'!$R:$R,TRUE),0),
  IFERROR(_xlfn.MAXIFS(' CVM'!$S:$S,$C:$C,_xlpm.n,' CVM'!$T:$T,TRUE),0),
  IFERROR(_xlfn.MAXIFS(' CVM'!$U:$U,$C:$C,_xlpm.n,' CVM'!$V:$V,TRUE),0),
  IFERROR(_xlfn.MAXIFS(' CVM'!$W:$W,$C:$C,_xlpm.n,' CVM'!$X:$X,TRUE),0),
  IFERROR(_xlfn.MAXIFS(' CVM'!$Y:$Y,$C:$C,_xlpm.n,' CVM'!$Z:$Z,TRUE),0),
  IFERROR(_xlfn.MAXIFS(' CVM'!$AA:$AA,$C:$C,_xlpm.n,' CVM'!$AB:$AB,TRUE),0),
  IFERROR(_xlfn.MAXIFS(' CVM'!$AC:$AC,$C:$C,_xlpm.n,' CVM'!$AD:$AD,TRUE),0),
  IFERROR(_xlfn.MAXIFS(' CVM'!$AE:$AE,$C:$C,_xlpm.n,' CVM'!$AF:$AF,TRUE),0),
  IFERROR(_xlfn.MAXIFS(' CVM'!$AG:$AG,$C:$C,_xlpm.n,' CVM'!$AH:$AH,TRUE),0)
 ),
 IF(_xlpm.r=0,"",_xlpm.r)
)</f>
        <v/>
      </c>
      <c r="I62" s="167" cm="1">
        <f t="array" ref="I62">_xlfn.LET(
  _xlpm.r, K62:AG62,
  _xlpm.planned, _xlfn.CHOOSECOLS(_xlpm.r,1,3,5,7,9,11,13,15,17,19,21,23),
  _xlpm.t, _xlpm.planned&amp;"",
  _xlpm.d, IFERROR(--_xlpm.planned, IFERROR(DATEVALUE(IFERROR(_xlfn.TEXTAFTER(_xlpm.t,", "), _xlpm.t)), 0)),
  SUM(--(_xlpm.d&gt;0))
)</f>
        <v>0</v>
      </c>
      <c r="J62" s="167">
        <f>COUNTIFS(' CVM'!$E$4:$E$62,$E62,' CVM'!$L$4:$L$62,TRUE)
+COUNTIFS(' CVM'!$E$4:$E$62,$E62,' CVM'!$N$4:$N$62,TRUE)
+COUNTIFS(' CVM'!$E$4:$E$62,$E62,' CVM'!$P$4:$P$62,TRUE)
+COUNTIFS(' CVM'!$E$4:$E$62,$E62,' CVM'!$R$4:$R$62,TRUE)
+COUNTIFS(' CVM'!$E$4:$E$62,$E62,' CVM'!$T$4:$T$62,TRUE)
+COUNTIFS(' CVM'!$E$4:$E$62,$E62,' CVM'!$V$4:$V$62,TRUE)
+COUNTIFS(' CVM'!$E$4:$E$62,$E62,' CVM'!$X$4:$X$62,TRUE)
+COUNTIFS(' CVM'!$E$4:$E$62,$E62,' CVM'!$Z$4:$Z$62,TRUE)
+COUNTIFS(' CVM'!$E$4:$E$62,$E62,' CVM'!$AB$4:$AB$62,TRUE)
+COUNTIFS(' CVM'!$E$4:$E$62,$E62,' CVM'!$AD$4:$AD$62,TRUE)
+COUNTIFS(' CVM'!$E$4:$E$62,$E62,' CVM'!$AF$4:$AF$62,TRUE)
+COUNTIFS(' CVM'!$E$4:$E$62,$E62,' CVM'!$AH$4:$AH$62,TRUE)</f>
        <v>0</v>
      </c>
      <c r="K62" s="124"/>
      <c r="L62" s="125" t="b">
        <v>0</v>
      </c>
      <c r="M62" s="124"/>
      <c r="N62" s="125" t="b">
        <v>0</v>
      </c>
      <c r="O62" s="124"/>
      <c r="P62" s="125" t="b">
        <v>0</v>
      </c>
      <c r="Q62" s="124"/>
      <c r="R62" s="125" t="b">
        <v>0</v>
      </c>
      <c r="S62" s="124"/>
      <c r="T62" s="125" t="b">
        <v>0</v>
      </c>
      <c r="U62" s="124"/>
      <c r="V62" s="125" t="b">
        <v>0</v>
      </c>
      <c r="W62" s="124"/>
      <c r="X62" s="125" t="b">
        <v>0</v>
      </c>
      <c r="Y62" s="124"/>
      <c r="Z62" s="125" t="b">
        <v>0</v>
      </c>
      <c r="AA62" s="124"/>
      <c r="AB62" s="125" t="b">
        <v>0</v>
      </c>
      <c r="AC62" s="124"/>
      <c r="AD62" s="125" t="b">
        <v>0</v>
      </c>
      <c r="AE62" s="124"/>
      <c r="AF62" s="125" t="b">
        <v>0</v>
      </c>
      <c r="AG62" s="124"/>
      <c r="AH62" s="126" t="b">
        <v>0</v>
      </c>
    </row>
  </sheetData>
  <sheetProtection sort="0" autoFilter="0"/>
  <phoneticPr fontId="45" type="noConversion"/>
  <pageMargins left="0.7" right="0.7" top="0.75" bottom="0.75" header="0.3" footer="0.3"/>
  <ignoredErrors>
    <ignoredError sqref="B4:C62" calculatedColumn="1"/>
  </ignoredErrors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88CFD-673D-4407-A671-C3CC1A12CB9A}">
  <sheetPr codeName="Sheet1">
    <tabColor theme="9" tint="0.59999389629810485"/>
    <pageSetUpPr fitToPage="1"/>
  </sheetPr>
  <dimension ref="A1:S19"/>
  <sheetViews>
    <sheetView showGridLines="0" zoomScaleNormal="100" workbookViewId="0">
      <selection activeCell="B2" sqref="B2"/>
    </sheetView>
  </sheetViews>
  <sheetFormatPr defaultRowHeight="14.45"/>
  <cols>
    <col min="1" max="1" width="11.5546875" style="117" customWidth="1"/>
    <col min="2" max="2" width="47" style="117" customWidth="1"/>
    <col min="3" max="3" width="4.88671875" customWidth="1"/>
    <col min="4" max="10" width="21.6640625" customWidth="1"/>
    <col min="11" max="11" width="7.6640625" customWidth="1"/>
    <col min="12" max="12" width="3.88671875" customWidth="1"/>
    <col min="13" max="13" width="7" customWidth="1"/>
    <col min="14" max="14" width="6.33203125" customWidth="1"/>
    <col min="16" max="16" width="16.33203125" customWidth="1"/>
    <col min="17" max="17" width="19" customWidth="1"/>
    <col min="18" max="18" width="13.88671875" customWidth="1"/>
    <col min="19" max="19" width="13.109375" customWidth="1"/>
  </cols>
  <sheetData>
    <row r="1" spans="1:19" ht="38.1" customHeight="1">
      <c r="A1" s="133"/>
      <c r="B1" s="133"/>
      <c r="C1" s="38"/>
      <c r="D1" s="39"/>
      <c r="E1" s="40"/>
      <c r="F1" s="40"/>
      <c r="G1" s="40"/>
      <c r="H1" s="41"/>
      <c r="I1" s="38"/>
      <c r="J1" s="38"/>
      <c r="K1" s="38"/>
      <c r="L1" s="1"/>
      <c r="M1" s="1"/>
      <c r="N1" s="1"/>
      <c r="O1" s="1"/>
    </row>
    <row r="2" spans="1:19" ht="25.35" customHeight="1" thickBot="1">
      <c r="A2" s="171" t="s">
        <v>552</v>
      </c>
      <c r="B2" s="170">
        <f>COUNTA(' CVM'!K4:K62)</f>
        <v>0</v>
      </c>
      <c r="C2" s="38"/>
      <c r="D2" s="42" t="str">
        <f t="shared" ref="D2:J2" ca="1" si="0">TEXT(D3,"ddd")</f>
        <v>Mon</v>
      </c>
      <c r="E2" s="42" t="str">
        <f t="shared" ca="1" si="0"/>
        <v>Tue</v>
      </c>
      <c r="F2" s="42" t="str">
        <f t="shared" ca="1" si="0"/>
        <v>Wed</v>
      </c>
      <c r="G2" s="42" t="str">
        <f t="shared" ca="1" si="0"/>
        <v>Thu</v>
      </c>
      <c r="H2" s="42" t="str">
        <f t="shared" ca="1" si="0"/>
        <v>Fri</v>
      </c>
      <c r="I2" s="42" t="str">
        <f t="shared" ca="1" si="0"/>
        <v>Sat</v>
      </c>
      <c r="J2" s="42" t="str">
        <f t="shared" ca="1" si="0"/>
        <v>Sun</v>
      </c>
      <c r="K2" s="38"/>
      <c r="L2" s="1"/>
      <c r="M2" s="1"/>
      <c r="N2" s="1"/>
      <c r="O2" s="1"/>
      <c r="P2" s="72"/>
      <c r="Q2" s="72"/>
    </row>
    <row r="3" spans="1:19" ht="20.45" customHeight="1" thickBot="1">
      <c r="A3" s="171" t="s">
        <v>553</v>
      </c>
      <c r="B3" s="170">
        <f>COUNTIF(' CVM'!L4:L62, TRUE)</f>
        <v>0</v>
      </c>
      <c r="C3" s="38"/>
      <c r="D3" s="82">
        <f t="array" aca="1" ref="D3:J3" ca="1">DaysAndWeeks+DATE(CalendarYear,1,1)-WEEKDAY(DATE(CalendarYear,1,1),(WeekStart="Mon")+1)+1</f>
        <v>46020</v>
      </c>
      <c r="E3" s="83">
        <f ca="1"/>
        <v>46021</v>
      </c>
      <c r="F3" s="83">
        <f ca="1"/>
        <v>46022</v>
      </c>
      <c r="G3" s="83">
        <f ca="1"/>
        <v>46023</v>
      </c>
      <c r="H3" s="83">
        <f ca="1"/>
        <v>46024</v>
      </c>
      <c r="I3" s="83">
        <f ca="1"/>
        <v>46025</v>
      </c>
      <c r="J3" s="83">
        <f ca="1"/>
        <v>46026</v>
      </c>
      <c r="K3" s="38"/>
      <c r="L3" s="1"/>
      <c r="M3" s="1"/>
      <c r="N3" s="1"/>
      <c r="O3" s="1"/>
      <c r="P3" s="282" t="s">
        <v>554</v>
      </c>
      <c r="Q3" s="282"/>
      <c r="R3" s="70" t="s">
        <v>555</v>
      </c>
      <c r="S3" s="70" t="s">
        <v>556</v>
      </c>
    </row>
    <row r="4" spans="1:19" ht="83.1" customHeight="1" thickBot="1">
      <c r="A4" s="206" t="s">
        <v>557</v>
      </c>
      <c r="B4" s="182"/>
      <c r="C4" s="38"/>
      <c r="D4" s="55"/>
      <c r="E4" s="56"/>
      <c r="F4" s="56"/>
      <c r="G4" s="169"/>
      <c r="H4" s="81" t="str" cm="1">
        <f t="array" aca="1" ref="H4" ca="1">IFERROR(
  _xlfn.TEXTJOIN(CHAR(10), TRUE,
    _xlfn.LET(
      _xlpm.stores,
      _xlfn._xlws.FILTER(
        ' CVM'!$E$4:$E$62,
        INT(' CVM'!$K$4:$K$62)=INT(H$3)
      ),
      TEXT(_xlfn.SEQUENCE(ROWS(_xlpm.stores)),"0.") &amp; " " &amp; _xlpm.stores
    )
  ),
"")</f>
        <v/>
      </c>
      <c r="I4" s="81" t="str" cm="1">
        <f t="array" aca="1" ref="I4" ca="1">IFERROR(
  _xlfn.TEXTJOIN(CHAR(10), TRUE,
    _xlfn.LET(
      _xlpm.stores,
      _xlfn._xlws.FILTER(
        ' CVM'!$E$4:$E$62,
        INT(' CVM'!$K$4:$K$62)=INT(I$3)
      ),
      TEXT(_xlfn.SEQUENCE(ROWS(_xlpm.stores)),"0.") &amp; " " &amp; _xlpm.stores
    )
  ),
"")</f>
        <v/>
      </c>
      <c r="J4" s="81" t="str" cm="1">
        <f t="array" aca="1" ref="J4" ca="1">IFERROR(
  _xlfn.TEXTJOIN(CHAR(10), TRUE,
    _xlfn.LET(
      _xlpm.stores,
      _xlfn._xlws.FILTER(
        ' CVM'!$E$4:$E$62,
        INT(' CVM'!$K$4:$K$62)=INT(J$3)
      ),
      TEXT(_xlfn.SEQUENCE(ROWS(_xlpm.stores)),"0.") &amp; " " &amp; _xlpm.stores
    )
  ),
"")</f>
        <v/>
      </c>
      <c r="K4" s="38"/>
      <c r="L4" s="1"/>
      <c r="M4" s="1"/>
      <c r="N4" s="1"/>
      <c r="O4" s="1"/>
      <c r="P4" s="282"/>
      <c r="Q4" s="282"/>
      <c r="R4" s="71">
        <f ca="1">IF(MONTH(TODAY())=12,YEAR(TODAY())+1,YEAR(TODAY()))</f>
        <v>2026</v>
      </c>
      <c r="S4" s="71" t="s">
        <v>558</v>
      </c>
    </row>
    <row r="5" spans="1:19" ht="20.45" customHeight="1">
      <c r="A5" s="171" t="s">
        <v>559</v>
      </c>
      <c r="B5" s="172" t="s">
        <v>560</v>
      </c>
      <c r="C5" s="38"/>
      <c r="D5" s="84">
        <f t="array" aca="1" ref="D5:J5" ca="1">DaysAndWeeks+DATE(CalendarYear,1,1)-WEEKDAY(DATE(CalendarYear,1,1),(WeekStart="Mon")+1)+8</f>
        <v>46027</v>
      </c>
      <c r="E5" s="85">
        <f ca="1"/>
        <v>46028</v>
      </c>
      <c r="F5" s="85">
        <f ca="1"/>
        <v>46029</v>
      </c>
      <c r="G5" s="85">
        <f ca="1"/>
        <v>46030</v>
      </c>
      <c r="H5" s="85">
        <f ca="1"/>
        <v>46031</v>
      </c>
      <c r="I5" s="85">
        <f ca="1"/>
        <v>46032</v>
      </c>
      <c r="J5" s="85">
        <f ca="1"/>
        <v>46033</v>
      </c>
      <c r="K5" s="38"/>
      <c r="L5" s="1"/>
      <c r="M5" s="1"/>
      <c r="N5" s="1"/>
      <c r="O5" s="1"/>
      <c r="P5" s="68"/>
      <c r="Q5" s="69"/>
    </row>
    <row r="6" spans="1:19" ht="83.1" customHeight="1" thickBot="1">
      <c r="A6" s="290" t="s">
        <v>561</v>
      </c>
      <c r="B6" s="290"/>
      <c r="C6" s="38"/>
      <c r="D6" s="81" t="str" cm="1">
        <f t="array" aca="1" ref="D6" ca="1">IFERROR(
  _xlfn.TEXTJOIN(CHAR(10), TRUE,
    _xlfn.LET(
      _xlpm.stores,
      _xlfn._xlws.FILTER(
        ' CVM'!$E$4:$E$62,
        INT(' CVM'!$K$4:$K$62)=INT(D$5)
      ),
      TEXT(_xlfn.SEQUENCE(ROWS(_xlpm.stores)),"0.") &amp; " " &amp; _xlpm.stores
    )
  ),
"")</f>
        <v/>
      </c>
      <c r="E6" s="81" t="str" cm="1">
        <f t="array" aca="1" ref="E6" ca="1">IFERROR(
  _xlfn.TEXTJOIN(CHAR(10), TRUE,
    _xlfn.LET(
      _xlpm.stores,
      _xlfn._xlws.FILTER(
        ' CVM'!$E$4:$E$62,
        INT(' CVM'!$K$4:$K$62)=INT(E$5)
      ),
      TEXT(_xlfn.SEQUENCE(ROWS(_xlpm.stores)),"0.") &amp; " " &amp; _xlpm.stores
    )
  ),
"")</f>
        <v/>
      </c>
      <c r="F6" s="168" t="str" cm="1">
        <f t="array" aca="1" ref="F6" ca="1">IFERROR(
  _xlfn.TEXTJOIN(CHAR(10), TRUE,
    _xlfn.LET(
      _xlpm.stores,
      _xlfn._xlws.FILTER(
        ' CVM'!$E$4:$E$62,
        INT(' CVM'!$K$4:$K$62)=INT(F$5)
      ),
      TEXT(_xlfn.SEQUENCE(ROWS(_xlpm.stores)),"0.") &amp; " " &amp; _xlpm.stores
    )
  ),
"")</f>
        <v/>
      </c>
      <c r="G6" s="168" t="str" cm="1">
        <f t="array" aca="1" ref="G6" ca="1">IFERROR(
  _xlfn.TEXTJOIN(CHAR(10), TRUE,
    _xlfn.LET(
      _xlpm.stores,
      _xlfn._xlws.FILTER(
        ' CVM'!$E$4:$E$62,
        INT(' CVM'!$K$4:$K$62)=INT(G$5)
      ),
      TEXT(_xlfn.SEQUENCE(ROWS(_xlpm.stores)),"0.") &amp; " " &amp; _xlpm.stores
    )
  ),
"")</f>
        <v/>
      </c>
      <c r="H6" s="81" t="str" cm="1">
        <f t="array" aca="1" ref="H6" ca="1">IFERROR(
  _xlfn.TEXTJOIN(CHAR(10), TRUE,
    _xlfn.LET(
      _xlpm.stores,
      _xlfn._xlws.FILTER(
        ' CVM'!$E$4:$E$62,
        INT(' CVM'!$K$4:$K$62)=INT(H$5)
      ),
      TEXT(_xlfn.SEQUENCE(ROWS(_xlpm.stores)),"0.") &amp; " " &amp; _xlpm.stores
    )
  ),
"")</f>
        <v/>
      </c>
      <c r="I6" s="81" t="str" cm="1">
        <f t="array" aca="1" ref="I6" ca="1">IFERROR(
  _xlfn.TEXTJOIN(CHAR(10), TRUE,
    _xlfn.LET(
      _xlpm.stores,
      _xlfn._xlws.FILTER(
        ' CVM'!$E$4:$E$62,
        INT(' CVM'!$K$4:$K$62)=INT(I$5)
      ),
      TEXT(_xlfn.SEQUENCE(ROWS(_xlpm.stores)),"0.") &amp; " " &amp; _xlpm.stores
    )
  ),
"")</f>
        <v/>
      </c>
      <c r="J6" s="81" t="str" cm="1">
        <f t="array" aca="1" ref="J6" ca="1">IFERROR(
  _xlfn.TEXTJOIN(CHAR(10), TRUE,
    _xlfn.LET(
      _xlpm.stores,
      _xlfn._xlws.FILTER(
        ' CVM'!$E$4:$E$62,
        INT(' CVM'!$K$4:$K$62)=INT(J$5)
      ),
      TEXT(_xlfn.SEQUENCE(ROWS(_xlpm.stores)),"0.") &amp; " " &amp; _xlpm.stores
    )
  ),
"")</f>
        <v/>
      </c>
      <c r="K6" s="38"/>
      <c r="L6" s="1"/>
      <c r="M6" s="1"/>
      <c r="N6" s="1"/>
      <c r="O6" s="1"/>
      <c r="P6" s="69"/>
      <c r="Q6" s="79"/>
    </row>
    <row r="7" spans="1:19" ht="20.45" customHeight="1" thickBot="1">
      <c r="A7" s="289" t="s">
        <v>494</v>
      </c>
      <c r="B7" s="289"/>
      <c r="C7" s="38"/>
      <c r="D7" s="84">
        <f t="array" aca="1" ref="D7:J7" ca="1">DaysAndWeeks+DATE(CalendarYear,1,1)-WEEKDAY(DATE(CalendarYear,1,1),(WeekStart="Mon")+1)+15</f>
        <v>46034</v>
      </c>
      <c r="E7" s="85">
        <f ca="1"/>
        <v>46035</v>
      </c>
      <c r="F7" s="85">
        <f ca="1"/>
        <v>46036</v>
      </c>
      <c r="G7" s="85">
        <f ca="1"/>
        <v>46037</v>
      </c>
      <c r="H7" s="85">
        <f ca="1"/>
        <v>46038</v>
      </c>
      <c r="I7" s="85">
        <f ca="1"/>
        <v>46039</v>
      </c>
      <c r="J7" s="85">
        <f ca="1"/>
        <v>46040</v>
      </c>
      <c r="K7" s="38"/>
      <c r="L7" s="1"/>
      <c r="M7" s="1"/>
      <c r="N7" s="1"/>
    </row>
    <row r="8" spans="1:19" ht="83.1" customHeight="1" thickBot="1">
      <c r="A8" s="283" t="s">
        <v>562</v>
      </c>
      <c r="B8" s="284"/>
      <c r="C8" s="38"/>
      <c r="D8" s="81" t="str" cm="1">
        <f t="array" aca="1" ref="D8" ca="1">IFERROR(
  _xlfn.TEXTJOIN(CHAR(10), TRUE,
    _xlfn.LET(
      _xlpm.stores,
      _xlfn._xlws.FILTER(
        ' CVM'!$E$4:$E$62,
        INT(' CVM'!$K$4:$K$62)=INT(D$7)
      ),
      TEXT(_xlfn.SEQUENCE(ROWS(_xlpm.stores)),"0.") &amp; " " &amp; _xlpm.stores
    )
  ),
"")</f>
        <v/>
      </c>
      <c r="E8" s="81" t="str" cm="1">
        <f t="array" aca="1" ref="E8" ca="1">IFERROR(
  _xlfn.TEXTJOIN(CHAR(10), TRUE,
    _xlfn.LET(
      _xlpm.stores,
      _xlfn._xlws.FILTER(
        ' CVM'!$E$4:$E$62,
        INT(' CVM'!$K$4:$K$62)=INT(E$7)
      ),
      TEXT(_xlfn.SEQUENCE(ROWS(_xlpm.stores)),"0.") &amp; " " &amp; _xlpm.stores
    )
  ),
"")</f>
        <v/>
      </c>
      <c r="F8" s="81" t="str" cm="1">
        <f t="array" aca="1" ref="F8" ca="1">IFERROR(
  _xlfn.TEXTJOIN(CHAR(10), TRUE,
    _xlfn.LET(
      _xlpm.stores,
      _xlfn._xlws.FILTER(
        ' CVM'!$E$4:$E$62,
        INT(' CVM'!$K$4:$K$62)=INT(F$7)
      ),
      TEXT(_xlfn.SEQUENCE(ROWS(_xlpm.stores)),"0.") &amp; " " &amp; _xlpm.stores
    )
  ),
"")</f>
        <v/>
      </c>
      <c r="G8" s="81" t="str" cm="1">
        <f t="array" aca="1" ref="G8" ca="1">IFERROR(
  _xlfn.TEXTJOIN(CHAR(10), TRUE,
    _xlfn.LET(
      _xlpm.stores,
      _xlfn._xlws.FILTER(
        ' CVM'!$E$4:$E$62,
        INT(' CVM'!$K$4:$K$62)=INT(G$7)
      ),
      TEXT(_xlfn.SEQUENCE(ROWS(_xlpm.stores)),"0.") &amp; " " &amp; _xlpm.stores
    )
  ),
"")</f>
        <v/>
      </c>
      <c r="H8" s="81" t="str" cm="1">
        <f t="array" aca="1" ref="H8" ca="1">IFERROR(
  _xlfn.TEXTJOIN(CHAR(10), TRUE,
    _xlfn.LET(
      _xlpm.stores,
      _xlfn._xlws.FILTER(
        ' CVM'!$E$4:$E$62,
        INT(' CVM'!$K$4:$K$62)=INT(H$7)
      ),
      TEXT(_xlfn.SEQUENCE(ROWS(_xlpm.stores)),"0.") &amp; " " &amp; _xlpm.stores
    )
  ),
"")</f>
        <v/>
      </c>
      <c r="I8" s="81" t="str" cm="1">
        <f t="array" aca="1" ref="I8" ca="1">IFERROR(
  _xlfn.TEXTJOIN(CHAR(10), TRUE,
    _xlfn.LET(
      _xlpm.stores,
      _xlfn._xlws.FILTER(
        ' CVM'!$E$4:$E$62,
        INT(' CVM'!$K$4:$K$62)=INT(I$7)
      ),
      TEXT(_xlfn.SEQUENCE(ROWS(_xlpm.stores)),"0.") &amp; " " &amp; _xlpm.stores
    )
  ),
"")</f>
        <v/>
      </c>
      <c r="J8" s="81" t="str" cm="1">
        <f t="array" aca="1" ref="J8" ca="1">IFERROR(
  _xlfn.TEXTJOIN(CHAR(10), TRUE,
    _xlfn.LET(
      _xlpm.stores,
      _xlfn._xlws.FILTER(
        ' CVM'!$E$4:$E$62,
        INT(' CVM'!$K$4:$K$62)=INT(J$7)
      ),
      TEXT(_xlfn.SEQUENCE(ROWS(_xlpm.stores)),"0.") &amp; " " &amp; _xlpm.stores
    )
  ),
"")</f>
        <v/>
      </c>
      <c r="K8" s="38"/>
      <c r="L8" s="1"/>
      <c r="M8" s="1"/>
      <c r="N8" s="1"/>
      <c r="O8" s="1"/>
    </row>
    <row r="9" spans="1:19" ht="20.45" customHeight="1">
      <c r="A9" s="285"/>
      <c r="B9" s="286"/>
      <c r="C9" s="38"/>
      <c r="D9" s="54">
        <f t="array" aca="1" ref="D9:J9" ca="1">DaysAndWeeks+DATE(CalendarYear,1,1)-WEEKDAY(DATE(CalendarYear,1,1),(WeekStart="Mon")+1)+22</f>
        <v>46041</v>
      </c>
      <c r="E9" s="53">
        <f ca="1"/>
        <v>46042</v>
      </c>
      <c r="F9" s="53">
        <f ca="1"/>
        <v>46043</v>
      </c>
      <c r="G9" s="53">
        <f ca="1"/>
        <v>46044</v>
      </c>
      <c r="H9" s="53">
        <f ca="1"/>
        <v>46045</v>
      </c>
      <c r="I9" s="53">
        <f ca="1"/>
        <v>46046</v>
      </c>
      <c r="J9" s="53">
        <f ca="1"/>
        <v>46047</v>
      </c>
      <c r="K9" s="38"/>
      <c r="L9" s="1"/>
      <c r="M9" s="1"/>
      <c r="N9" s="1"/>
    </row>
    <row r="10" spans="1:19" ht="83.1" customHeight="1" thickBot="1">
      <c r="A10" s="285"/>
      <c r="B10" s="286"/>
      <c r="C10" s="38"/>
      <c r="D10" s="81" t="str" cm="1">
        <f t="array" aca="1" ref="D10" ca="1">IFERROR(
  _xlfn.TEXTJOIN(CHAR(10), TRUE,
    _xlfn.LET(
      _xlpm.stores,
      _xlfn._xlws.FILTER(
        ' CVM'!$E$4:$E$62,
        INT(' CVM'!$K$4:$K$62)=INT(D$9)
      ),
      TEXT(_xlfn.SEQUENCE(ROWS(_xlpm.stores)),"0.") &amp; " " &amp; _xlpm.stores
    )
  ),
"")</f>
        <v/>
      </c>
      <c r="E10" s="81" t="str" cm="1">
        <f t="array" aca="1" ref="E10" ca="1">IFERROR(
  _xlfn.TEXTJOIN(CHAR(10), TRUE,
    _xlfn.LET(
      _xlpm.stores,
      _xlfn._xlws.FILTER(
        ' CVM'!$E$4:$E$62,
        INT(' CVM'!$K$4:$K$62)=INT(E$9)
      ),
      TEXT(_xlfn.SEQUENCE(ROWS(_xlpm.stores)),"0.") &amp; " " &amp; _xlpm.stores
    )
  ),
"")</f>
        <v/>
      </c>
      <c r="F10" s="81" t="str" cm="1">
        <f t="array" aca="1" ref="F10" ca="1">IFERROR(
  _xlfn.TEXTJOIN(CHAR(10), TRUE,
    _xlfn.LET(
      _xlpm.stores,
      _xlfn._xlws.FILTER(
        ' CVM'!$E$4:$E$62,
        INT(' CVM'!$K$4:$K$62)=INT(F$9)
      ),
      TEXT(_xlfn.SEQUENCE(ROWS(_xlpm.stores)),"0.") &amp; " " &amp; _xlpm.stores
    )
  ),
"")</f>
        <v/>
      </c>
      <c r="G10" s="81" t="str" cm="1">
        <f t="array" aca="1" ref="G10" ca="1">IFERROR(
  _xlfn.TEXTJOIN(CHAR(10), TRUE,
    _xlfn.LET(
      _xlpm.stores,
      _xlfn._xlws.FILTER(
        ' CVM'!$E$4:$E$62,
        INT(' CVM'!$K$4:$K$62)=INT(G$9)
      ),
      TEXT(_xlfn.SEQUENCE(ROWS(_xlpm.stores)),"0.") &amp; " " &amp; _xlpm.stores
    )
  ),
"")</f>
        <v/>
      </c>
      <c r="H10" s="81" t="str" cm="1">
        <f t="array" aca="1" ref="H10" ca="1">IFERROR(
  _xlfn.TEXTJOIN(CHAR(10), TRUE,
    _xlfn.LET(
      _xlpm.stores,
      _xlfn._xlws.FILTER(
        ' CVM'!$E$4:$E$62,
        INT(' CVM'!$K$4:$K$62)=INT(H$9)
      ),
      TEXT(_xlfn.SEQUENCE(ROWS(_xlpm.stores)),"0.") &amp; " " &amp; _xlpm.stores
    )
  ),
"")</f>
        <v/>
      </c>
      <c r="I10" s="81" t="str" cm="1">
        <f t="array" aca="1" ref="I10" ca="1">IFERROR(
  _xlfn.TEXTJOIN(CHAR(10), TRUE,
    _xlfn.LET(
      _xlpm.stores,
      _xlfn._xlws.FILTER(
        ' CVM'!$E$4:$E$62,
        INT(' CVM'!$K$4:$K$62)=INT(I$9)
      ),
      TEXT(_xlfn.SEQUENCE(ROWS(_xlpm.stores)),"0.") &amp; " " &amp; _xlpm.stores
    )
  ),
"")</f>
        <v/>
      </c>
      <c r="J10" s="81" t="str" cm="1">
        <f t="array" aca="1" ref="J10" ca="1">IFERROR(
  _xlfn.TEXTJOIN(CHAR(10), TRUE,
    _xlfn.LET(
      _xlpm.stores,
      _xlfn._xlws.FILTER(
        ' CVM'!$E$4:$E$62,
        INT(' CVM'!$K$4:$K$62)=INT(J$9)
      ),
      TEXT(_xlfn.SEQUENCE(ROWS(_xlpm.stores)),"0.") &amp; " " &amp; _xlpm.stores
    )
  ),
"")</f>
        <v/>
      </c>
      <c r="K10" s="38"/>
      <c r="L10" s="1"/>
      <c r="M10" s="1"/>
      <c r="N10" s="1"/>
      <c r="O10" s="1"/>
    </row>
    <row r="11" spans="1:19" ht="20.45" customHeight="1">
      <c r="A11" s="285"/>
      <c r="B11" s="286"/>
      <c r="C11" s="38"/>
      <c r="D11" s="54">
        <f t="array" aca="1" ref="D11:J11" ca="1">DaysAndWeeks+DATE(CalendarYear,1,1)-WEEKDAY(DATE(CalendarYear,1,1),(WeekStart="Mon")+1)+29</f>
        <v>46048</v>
      </c>
      <c r="E11" s="53">
        <f ca="1"/>
        <v>46049</v>
      </c>
      <c r="F11" s="53">
        <f ca="1"/>
        <v>46050</v>
      </c>
      <c r="G11" s="53">
        <f ca="1"/>
        <v>46051</v>
      </c>
      <c r="H11" s="53">
        <f ca="1"/>
        <v>46052</v>
      </c>
      <c r="I11" s="53">
        <f ca="1"/>
        <v>46053</v>
      </c>
      <c r="J11" s="53">
        <f ca="1"/>
        <v>46054</v>
      </c>
      <c r="K11" s="38"/>
      <c r="L11" s="1"/>
      <c r="M11" s="1"/>
      <c r="N11" s="1"/>
      <c r="O11" s="1"/>
    </row>
    <row r="12" spans="1:19" ht="83.1" customHeight="1" thickBot="1">
      <c r="A12" s="285"/>
      <c r="B12" s="286"/>
      <c r="C12" s="38"/>
      <c r="D12" s="169" t="str" cm="1">
        <f t="array" aca="1" ref="D12" ca="1">IFERROR(
  _xlfn.TEXTJOIN(CHAR(10), TRUE,
    _xlfn.LET(
      _xlpm.stores,
      _xlfn._xlws.FILTER(
        ' CVM'!$E$4:$E$62,
        INT(' CVM'!$K$4:$K$62)=INT(D$11)
      ),
      TEXT(_xlfn.SEQUENCE(ROWS(_xlpm.stores)),"0.") &amp; " " &amp; _xlpm.stores
    )
  ),
"")</f>
        <v/>
      </c>
      <c r="E12" s="81" t="str" cm="1">
        <f t="array" aca="1" ref="E12" ca="1">IFERROR(
  _xlfn.TEXTJOIN(CHAR(10), TRUE,
    _xlfn.LET(
      _xlpm.stores,
      _xlfn._xlws.FILTER(
        ' CVM'!$E$4:$E$62,
        INT(' CVM'!$K$4:$K$62)=INT(E$11)
      ),
      TEXT(_xlfn.SEQUENCE(ROWS(_xlpm.stores)),"0.") &amp; " " &amp; _xlpm.stores
    )
  ),
"")</f>
        <v/>
      </c>
      <c r="F12" s="81" t="str" cm="1">
        <f t="array" aca="1" ref="F12" ca="1">IFERROR(
  _xlfn.TEXTJOIN(CHAR(10), TRUE,
    _xlfn.LET(
      _xlpm.stores,
      _xlfn._xlws.FILTER(
        ' CVM'!$E$4:$E$62,
        INT(' CVM'!$K$4:$K$62)=INT(F$11)
      ),
      TEXT(_xlfn.SEQUENCE(ROWS(_xlpm.stores)),"0.") &amp; " " &amp; _xlpm.stores
    )
  ),
"")</f>
        <v/>
      </c>
      <c r="G12" s="81" t="str" cm="1">
        <f t="array" aca="1" ref="G12" ca="1">IFERROR(
  _xlfn.TEXTJOIN(CHAR(10), TRUE,
    _xlfn.LET(
      _xlpm.stores,
      _xlfn._xlws.FILTER(
        ' CVM'!$E$4:$E$62,
        INT(' CVM'!$K$4:$K$62)=INT(G$11)
      ),
      TEXT(_xlfn.SEQUENCE(ROWS(_xlpm.stores)),"0.") &amp; " " &amp; _xlpm.stores
    )
  ),
"")</f>
        <v/>
      </c>
      <c r="H12" s="81" t="str" cm="1">
        <f t="array" aca="1" ref="H12" ca="1">IFERROR(
  _xlfn.TEXTJOIN(CHAR(10), TRUE,
    _xlfn.LET(
      _xlpm.stores,
      _xlfn._xlws.FILTER(
        ' CVM'!$E$4:$E$62,
        INT(' CVM'!$K$4:$K$62)=INT(H$11)
      ),
      TEXT(_xlfn.SEQUENCE(ROWS(_xlpm.stores)),"0.") &amp; " " &amp; _xlpm.stores
    )
  ),
"")</f>
        <v/>
      </c>
      <c r="I12" s="81" t="str" cm="1">
        <f t="array" aca="1" ref="I12" ca="1">IFERROR(
  _xlfn.TEXTJOIN(CHAR(10), TRUE,
    _xlfn.LET(
      _xlpm.stores,
      _xlfn._xlws.FILTER(
        ' CVM'!$E$4:$E$62,
        INT(' CVM'!$K$4:$K$62)=INT(I$11)
      ),
      TEXT(_xlfn.SEQUENCE(ROWS(_xlpm.stores)),"0.") &amp; " " &amp; _xlpm.stores
    )
  ),
"")</f>
        <v/>
      </c>
      <c r="J12" s="56"/>
      <c r="K12" s="38"/>
      <c r="L12" s="1"/>
      <c r="M12" s="1"/>
      <c r="N12" s="1"/>
      <c r="O12" s="1"/>
    </row>
    <row r="13" spans="1:19" ht="20.45" customHeight="1" thickBot="1">
      <c r="A13" s="287"/>
      <c r="B13" s="288"/>
      <c r="C13" s="38"/>
      <c r="D13" s="54">
        <f t="array" aca="1" ref="D13:J13" ca="1">DaysAndWeeks+DATE(CalendarYear,1,1)-WEEKDAY(DATE(CalendarYear,1,1),(WeekStart="Mon")+1)+36</f>
        <v>46055</v>
      </c>
      <c r="E13" s="53">
        <f ca="1"/>
        <v>46056</v>
      </c>
      <c r="F13" s="53">
        <f ca="1"/>
        <v>46057</v>
      </c>
      <c r="G13" s="53">
        <f ca="1"/>
        <v>46058</v>
      </c>
      <c r="H13" s="53">
        <f ca="1"/>
        <v>46059</v>
      </c>
      <c r="I13" s="53">
        <f ca="1"/>
        <v>46060</v>
      </c>
      <c r="J13" s="53">
        <f ca="1"/>
        <v>46061</v>
      </c>
      <c r="K13" s="38"/>
      <c r="L13" s="1"/>
      <c r="M13" s="1"/>
      <c r="N13" s="1"/>
      <c r="O13" s="1"/>
    </row>
    <row r="14" spans="1:19" ht="83.1" customHeight="1" thickBot="1">
      <c r="A14" s="135"/>
      <c r="B14" s="136"/>
      <c r="C14" s="38"/>
      <c r="D14" s="55"/>
      <c r="E14" s="56"/>
      <c r="F14" s="56"/>
      <c r="G14" s="56"/>
      <c r="H14" s="56"/>
      <c r="I14" s="56"/>
      <c r="J14" s="56"/>
      <c r="K14" s="38"/>
      <c r="L14" s="1"/>
      <c r="M14" s="1"/>
      <c r="N14" s="1"/>
      <c r="O14" s="1"/>
    </row>
    <row r="15" spans="1:19" ht="22.5" customHeight="1">
      <c r="A15" s="135"/>
      <c r="B15" s="137" t="s">
        <v>563</v>
      </c>
      <c r="C15" s="38"/>
      <c r="D15" s="38"/>
      <c r="E15" s="38"/>
      <c r="F15" s="38"/>
      <c r="G15" s="38"/>
      <c r="H15" s="38"/>
      <c r="I15" s="38"/>
      <c r="J15" s="38"/>
      <c r="K15" s="38"/>
      <c r="L15" s="1"/>
      <c r="M15" s="1"/>
      <c r="N15" s="1"/>
      <c r="O15" s="1"/>
    </row>
    <row r="16" spans="1:19" ht="15" customHeight="1">
      <c r="A16" s="134"/>
      <c r="B16" s="138" t="s">
        <v>564</v>
      </c>
      <c r="C16" s="38"/>
      <c r="D16" s="38"/>
      <c r="E16" s="38"/>
      <c r="F16" s="38"/>
      <c r="G16" s="38"/>
      <c r="H16" s="38"/>
      <c r="I16" s="38"/>
      <c r="J16" s="38"/>
      <c r="K16" s="38"/>
      <c r="L16" s="1"/>
      <c r="M16" s="1"/>
      <c r="N16" s="1"/>
      <c r="O16" s="1"/>
    </row>
    <row r="17" spans="1:2" ht="49.5" customHeight="1">
      <c r="A17" s="134"/>
      <c r="B17" s="134"/>
    </row>
    <row r="19" spans="1:2" ht="17.850000000000001" customHeight="1"/>
  </sheetData>
  <sheetProtection selectLockedCells="1" sort="0" autoFilter="0"/>
  <mergeCells count="4">
    <mergeCell ref="P3:Q4"/>
    <mergeCell ref="A8:B13"/>
    <mergeCell ref="A7:B7"/>
    <mergeCell ref="A6:B6"/>
  </mergeCells>
  <phoneticPr fontId="45" type="noConversion"/>
  <conditionalFormatting sqref="D3:J3">
    <cfRule type="expression" dxfId="130" priority="33">
      <formula>DAY(D3)&gt;8</formula>
    </cfRule>
  </conditionalFormatting>
  <conditionalFormatting sqref="D11:J11 D13:J14 J12">
    <cfRule type="expression" dxfId="129" priority="31">
      <formula>AND(DAY(D11)&gt;=1,DAY(D11)&lt;=15)</formula>
    </cfRule>
  </conditionalFormatting>
  <conditionalFormatting sqref="D13:J14 J12">
    <cfRule type="expression" dxfId="128" priority="32">
      <formula>AND(DAY(D11)&gt;=1,DAY(D11)&lt;=15)</formula>
    </cfRule>
  </conditionalFormatting>
  <conditionalFormatting sqref="H4:J4">
    <cfRule type="notContainsBlanks" dxfId="127" priority="29">
      <formula>LEN(TRIM(H4))&gt;0</formula>
    </cfRule>
  </conditionalFormatting>
  <conditionalFormatting sqref="H4:J4">
    <cfRule type="containsBlanks" dxfId="126" priority="37">
      <formula>LEN(TRIM(H4))=0</formula>
    </cfRule>
  </conditionalFormatting>
  <conditionalFormatting sqref="D6:J6">
    <cfRule type="notContainsBlanks" dxfId="125" priority="7">
      <formula>LEN(TRIM(D6))&gt;0</formula>
    </cfRule>
  </conditionalFormatting>
  <conditionalFormatting sqref="D6:J6">
    <cfRule type="containsBlanks" dxfId="124" priority="8">
      <formula>LEN(TRIM(D6))=0</formula>
    </cfRule>
  </conditionalFormatting>
  <conditionalFormatting sqref="D8:J8">
    <cfRule type="notContainsBlanks" dxfId="123" priority="5">
      <formula>LEN(TRIM(D8))&gt;0</formula>
    </cfRule>
  </conditionalFormatting>
  <conditionalFormatting sqref="D8:J8">
    <cfRule type="containsBlanks" dxfId="122" priority="6">
      <formula>LEN(TRIM(D8))=0</formula>
    </cfRule>
  </conditionalFormatting>
  <conditionalFormatting sqref="D10:J10">
    <cfRule type="notContainsBlanks" dxfId="121" priority="3">
      <formula>LEN(TRIM(D10))&gt;0</formula>
    </cfRule>
  </conditionalFormatting>
  <conditionalFormatting sqref="D10:J10">
    <cfRule type="containsBlanks" dxfId="120" priority="4">
      <formula>LEN(TRIM(D10))=0</formula>
    </cfRule>
  </conditionalFormatting>
  <conditionalFormatting sqref="E12:I12">
    <cfRule type="notContainsBlanks" dxfId="119" priority="1">
      <formula>LEN(TRIM(E12))&gt;0</formula>
    </cfRule>
  </conditionalFormatting>
  <conditionalFormatting sqref="E12:I12">
    <cfRule type="containsBlanks" dxfId="118" priority="2">
      <formula>LEN(TRIM(E12))=0</formula>
    </cfRule>
  </conditionalFormatting>
  <dataValidations xWindow="309" yWindow="839" count="10">
    <dataValidation allowBlank="1" showInputMessage="1" prompt="Rows 3, 5, 7, 9, 11, and 13 contain dates of the month, including the previous and next month, if applicable" sqref="D3" xr:uid="{8142B74C-195A-4982-B845-3D11B1C60B95}"/>
    <dataValidation allowBlank="1" showInputMessage="1" showErrorMessage="1" prompt="Month for this worksheet is in this cell. Calendar is in the right contains dates from previous, current, and next month." sqref="A6 A7:B7" xr:uid="{5272DBD0-ED41-4087-88A5-AB9E58A57314}"/>
    <dataValidation allowBlank="1" showInputMessage="1" prompt="Navigation link to the previous month" sqref="B15" xr:uid="{2719AFD6-F99C-4C45-9FA7-D9768E47FEE2}"/>
    <dataValidation allowBlank="1" showInputMessage="1" prompt="Enter daily notes in rows 4, 6, 8, 10, 12, and 14, columns D through J" sqref="D4" xr:uid="{6B5FAEEF-DBB8-49CE-BA8A-0FA07D7FE273}"/>
    <dataValidation allowBlank="1" showInputMessage="1" prompt="Automatically determined starting day of the week. To change weekdays, select a new starting day of the week in Q4 of 'JANUARY' worksheet" sqref="D2" xr:uid="{FBD81E1B-EEB3-4D72-A9D3-8FA9153685D3}"/>
    <dataValidation allowBlank="1" showInputMessage="1" prompt="Automatically determined weekday" sqref="E2:J2" xr:uid="{5C2F9511-5174-4450-BC36-28EB12989C65}"/>
    <dataValidation allowBlank="1" showInputMessage="1" showErrorMessage="1" prompt="Navigation link to the next month" sqref="B16" xr:uid="{D8369C9E-64EB-4248-90BF-1E095B37DDC3}"/>
    <dataValidation type="list" allowBlank="1" showInputMessage="1" showErrorMessage="1" prompt="Select Week Start day in this cell. Press ALT+DOWN ARROW to open the drop-down list, then ENTER to make selection" sqref="S4" xr:uid="{767B1A34-CBED-4F4E-9E27-80F7E5980313}">
      <formula1>"Sun, Mon"</formula1>
    </dataValidation>
    <dataValidation allowBlank="1" showInputMessage="1" showErrorMessage="1" prompt="Enter Year in this cell" sqref="R4" xr:uid="{97A8DF4E-6EE4-47F9-8E7A-A8F52E0C996D}"/>
    <dataValidation allowBlank="1" showInputMessage="1" showErrorMessage="1" prompt="January month calendar" sqref="A1" xr:uid="{362B710E-526E-41C0-918F-1B53501D1833}"/>
  </dataValidations>
  <hyperlinks>
    <hyperlink ref="B16" location="FEBRUARY!A1" display="&gt; FEBRUARY" xr:uid="{98F46D84-9073-4682-9186-DD192D051C7A}"/>
    <hyperlink ref="B15" location="DECEMBER!A1" tooltip="Navigation link to the next month" display=" &lt; DECEMBER" xr:uid="{3FA06948-AAFA-4948-A48C-FD1C2BD2325F}"/>
  </hyperlinks>
  <printOptions horizontalCentered="1" verticalCentered="1"/>
  <pageMargins left="0.25" right="0.25" top="0.75" bottom="0.75" header="0.3" footer="0.3"/>
  <pageSetup scale="77" orientation="landscape" horizontalDpi="4294967293" verticalDpi="200" r:id="rId1"/>
  <ignoredErrors>
    <ignoredError sqref="B2:B3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CCE51-1BB0-4A6D-9E55-9D9517AC8D63}">
  <sheetPr codeName="Sheet3">
    <tabColor theme="7" tint="0.79998168889431442"/>
    <pageSetUpPr fitToPage="1"/>
  </sheetPr>
  <dimension ref="A1:K19"/>
  <sheetViews>
    <sheetView showGridLines="0" zoomScaleNormal="100" workbookViewId="0">
      <selection activeCell="B2" sqref="B2"/>
    </sheetView>
  </sheetViews>
  <sheetFormatPr defaultRowHeight="14.45"/>
  <cols>
    <col min="1" max="1" width="13.77734375" style="187" bestFit="1" customWidth="1"/>
    <col min="2" max="2" width="39.88671875" style="117" customWidth="1"/>
    <col min="3" max="3" width="4.88671875" customWidth="1"/>
    <col min="4" max="10" width="20.33203125" customWidth="1"/>
    <col min="11" max="11" width="6.109375" customWidth="1"/>
  </cols>
  <sheetData>
    <row r="1" spans="1:11" ht="38.1" customHeight="1">
      <c r="A1" s="184"/>
      <c r="B1" s="139"/>
      <c r="C1" s="4"/>
      <c r="D1" s="5"/>
      <c r="E1" s="6"/>
      <c r="F1" s="6"/>
      <c r="G1" s="6"/>
      <c r="H1" s="7"/>
      <c r="I1" s="4"/>
      <c r="J1" s="4"/>
      <c r="K1" s="4"/>
    </row>
    <row r="2" spans="1:11" ht="25.35" customHeight="1" thickBot="1">
      <c r="A2" s="139" t="s">
        <v>552</v>
      </c>
      <c r="B2" s="181">
        <f>COUNTA(' CVM'!M4:M62)</f>
        <v>37</v>
      </c>
      <c r="C2" s="4"/>
      <c r="D2" s="8" t="str">
        <f t="shared" ref="D2:J2" ca="1" si="0">TEXT(D3,"ddd")</f>
        <v>Mon</v>
      </c>
      <c r="E2" s="8" t="str">
        <f t="shared" ca="1" si="0"/>
        <v>Tue</v>
      </c>
      <c r="F2" s="8" t="str">
        <f t="shared" ca="1" si="0"/>
        <v>Wed</v>
      </c>
      <c r="G2" s="8" t="str">
        <f t="shared" ca="1" si="0"/>
        <v>Thu</v>
      </c>
      <c r="H2" s="8" t="str">
        <f t="shared" ca="1" si="0"/>
        <v>Fri</v>
      </c>
      <c r="I2" s="8" t="str">
        <f t="shared" ca="1" si="0"/>
        <v>Sat</v>
      </c>
      <c r="J2" s="8" t="str">
        <f t="shared" ca="1" si="0"/>
        <v>Sun</v>
      </c>
      <c r="K2" s="4"/>
    </row>
    <row r="3" spans="1:11" ht="20.45" customHeight="1">
      <c r="A3" s="139" t="s">
        <v>553</v>
      </c>
      <c r="B3" s="181">
        <f>COUNTIF(' CVM'!N4:N62, TRUE)</f>
        <v>36</v>
      </c>
      <c r="C3" s="4"/>
      <c r="D3" s="11">
        <f t="array" aca="1" ref="D3:J3" ca="1">DaysAndWeeks+DATE(CalendarYear,2,1)-WEEKDAY(DATE(CalendarYear,2,1),(WeekStart="Mon")+1)+1</f>
        <v>46048</v>
      </c>
      <c r="E3" s="11">
        <f ca="1"/>
        <v>46049</v>
      </c>
      <c r="F3" s="11">
        <f ca="1"/>
        <v>46050</v>
      </c>
      <c r="G3" s="11">
        <f ca="1"/>
        <v>46051</v>
      </c>
      <c r="H3" s="11">
        <f ca="1"/>
        <v>46052</v>
      </c>
      <c r="I3" s="11">
        <f ca="1"/>
        <v>46053</v>
      </c>
      <c r="J3" s="12">
        <f ca="1"/>
        <v>46054</v>
      </c>
      <c r="K3" s="4"/>
    </row>
    <row r="4" spans="1:11" ht="83.1" customHeight="1" thickBot="1">
      <c r="A4" s="207" t="s">
        <v>557</v>
      </c>
      <c r="B4" s="181"/>
      <c r="C4" s="4"/>
      <c r="D4" s="13"/>
      <c r="E4" s="13"/>
      <c r="F4" s="13"/>
      <c r="G4" s="13"/>
      <c r="H4" s="13"/>
      <c r="I4" s="13"/>
      <c r="J4" s="14"/>
      <c r="K4" s="4"/>
    </row>
    <row r="5" spans="1:11" ht="20.45" customHeight="1">
      <c r="A5" s="139" t="s">
        <v>559</v>
      </c>
      <c r="B5" s="181" t="s">
        <v>565</v>
      </c>
      <c r="C5" s="4"/>
      <c r="D5" s="11">
        <f t="array" aca="1" ref="D5:J5" ca="1">DaysAndWeeks+DATE(CalendarYear,2,1)-WEEKDAY(DATE(CalendarYear,2,1),(WeekStart="Mon")+1)+8</f>
        <v>46055</v>
      </c>
      <c r="E5" s="11">
        <f ca="1"/>
        <v>46056</v>
      </c>
      <c r="F5" s="11">
        <f ca="1"/>
        <v>46057</v>
      </c>
      <c r="G5" s="11">
        <f ca="1"/>
        <v>46058</v>
      </c>
      <c r="H5" s="11">
        <f ca="1"/>
        <v>46059</v>
      </c>
      <c r="I5" s="11">
        <f ca="1"/>
        <v>46060</v>
      </c>
      <c r="J5" s="12">
        <f ca="1"/>
        <v>46061</v>
      </c>
      <c r="K5" s="4"/>
    </row>
    <row r="6" spans="1:11" ht="103.5" customHeight="1" thickBot="1">
      <c r="A6" s="297" t="s">
        <v>566</v>
      </c>
      <c r="B6" s="297"/>
      <c r="C6" s="4"/>
      <c r="D6" s="269" t="str" cm="1">
        <f t="array" aca="1" ref="D6" ca="1">IFERROR(
  _xlfn.TEXTJOIN(CHAR(10), TRUE,
    _xlfn.LET(
      _xlpm.stores,
      _xlfn._xlws.FILTER(
        ' CVM'!$E$4:$E$58,
        INT(' CVM'!$M$4:$M$58)=INT(D$5)
      ),
      TEXT(_xlfn.SEQUENCE(ROWS(_xlpm.stores)),"0.") &amp; " " &amp; _xlpm.stores
    )
  ),
"")</f>
        <v/>
      </c>
      <c r="E6" s="269" t="str" cm="1">
        <f t="array" aca="1" ref="E6" ca="1">IFERROR(
  _xlfn.TEXTJOIN(CHAR(10), TRUE,
    _xlfn.LET(
      _xlpm.stores,
      _xlfn._xlws.FILTER(
        ' CVM'!$E$4:$E$58,
        INT(' CVM'!$M$4:$M$58)=INT(E$5)
      ),
      TEXT(_xlfn.SEQUENCE(ROWS(_xlpm.stores)),"0.") &amp; " " &amp; _xlpm.stores
    )
  ),
"")</f>
        <v/>
      </c>
      <c r="F6" s="269" t="str" cm="1">
        <f t="array" aca="1" ref="F6" ca="1">IFERROR(
  _xlfn.TEXTJOIN(CHAR(10), TRUE,
    _xlfn.LET(
      _xlpm.stores,
      _xlfn._xlws.FILTER(
        ' CVM'!$E$4:$E$58,
        INT(' CVM'!$M$4:$M$58)=INT(F$5)
      ),
      TEXT(_xlfn.SEQUENCE(ROWS(_xlpm.stores)),"0.") &amp; " " &amp; _xlpm.stores
    )
  ),
"")</f>
        <v>1. G &amp; J KEANE INVESTMENTS PTY LTD
2. IVOCA PTY LTD  t/as Twin Rivers Workwear &amp; Uniform
3. TOTALLY WORKWEAR CENTRAL COAST
4. WORKIN GEAR GOSFORD
5. WORKWEAR MORISSET PTY LTD</v>
      </c>
      <c r="G6" s="269" t="str" cm="1">
        <f t="array" aca="1" ref="G6" ca="1">IFERROR(
  _xlfn.TEXTJOIN(CHAR(10), TRUE,
    _xlfn.LET(
      _xlpm.stores,
      _xlfn._xlws.FILTER(
        ' CVM'!$E$4:$E$58,
        INT(' CVM'!$M$4:$M$58)=INT(G$5)
      ),
      TEXT(_xlfn.SEQUENCE(ROWS(_xlpm.stores)),"0.") &amp; " " &amp; _xlpm.stores
    )
  ),
"")</f>
        <v>1. FARRAMS CLOTHING AND FOOTWEAR, MUSWELLBROOK
2. FLANAGANS MENSWEAR &amp; CORPORATE SPECIALISTS PTY LTD
3. HIP POCKET CHARMHAVEN
4. HIP POCKET MAITLAND THORNTON
5. NEWCASTLE WORKWEAR SPECIALISTS
6. TOTALLY WORKWEAR  KOTARA</v>
      </c>
      <c r="H6" s="269" t="str" cm="1">
        <f t="array" aca="1" ref="H6" ca="1">IFERROR(
  _xlfn.TEXTJOIN(CHAR(10), TRUE,
    _xlfn.LET(
      _xlpm.stores,
      _xlfn._xlws.FILTER(
        ' CVM'!$E$4:$E$58,
        INT(' CVM'!$M$4:$M$58)=INT(H$5)
      ),
      TEXT(_xlfn.SEQUENCE(ROWS(_xlpm.stores)),"0.") &amp; " " &amp; _xlpm.stores
    )
  ),
"")</f>
        <v xml:space="preserve">1. CORKAYCHA PTY LTD t/as TWW PORT STEPHENS
2. HIP POCKET HUNTER P/L t/as HIP POCKET NEWCASTLE
3. HIP POCKET MAITLAND
4. HIP POCKET WORKWEAR &amp; SAFETY ERINA </v>
      </c>
      <c r="I6" s="269" t="str" cm="1">
        <f t="array" aca="1" ref="I6" ca="1">IFERROR(
  _xlfn.TEXTJOIN(CHAR(10), TRUE,
    _xlfn.LET(
      _xlpm.stores,
      _xlfn._xlws.FILTER(
        ' CVM'!$E$4:$E$58,
        INT(' CVM'!$M$4:$M$58)=INT(I$5)
      ),
      TEXT(_xlfn.SEQUENCE(ROWS(_xlpm.stores)),"0.") &amp; " " &amp; _xlpm.stores
    )
  ),
"")</f>
        <v/>
      </c>
      <c r="J6" s="270" t="str" cm="1">
        <f t="array" aca="1" ref="J6" ca="1">IFERROR(
  _xlfn.TEXTJOIN(CHAR(10), TRUE,
    _xlfn.LET(
      _xlpm.stores,
      _xlfn._xlws.FILTER(
        ' CVM'!$E$4:$E$58,
        INT(' CVM'!$M$4:$M$58)=INT(J$5)
      ),
      TEXT(_xlfn.SEQUENCE(ROWS(_xlpm.stores)),"0.") &amp; " " &amp; _xlpm.stores
    )
  ),
"")</f>
        <v/>
      </c>
      <c r="K6" s="4"/>
    </row>
    <row r="7" spans="1:11" ht="20.25" customHeight="1" thickBot="1">
      <c r="A7" s="180" t="s">
        <v>494</v>
      </c>
      <c r="B7" s="179"/>
      <c r="C7" s="4"/>
      <c r="D7" s="11">
        <f t="array" aca="1" ref="D7:J7" ca="1">DaysAndWeeks+DATE(CalendarYear,2,1)-WEEKDAY(DATE(CalendarYear,2,1),(WeekStart="Mon")+1)+15</f>
        <v>46062</v>
      </c>
      <c r="E7" s="11">
        <f ca="1"/>
        <v>46063</v>
      </c>
      <c r="F7" s="11">
        <f ca="1"/>
        <v>46064</v>
      </c>
      <c r="G7" s="11">
        <f ca="1"/>
        <v>46065</v>
      </c>
      <c r="H7" s="11">
        <f ca="1"/>
        <v>46066</v>
      </c>
      <c r="I7" s="11">
        <f ca="1"/>
        <v>46067</v>
      </c>
      <c r="J7" s="12">
        <f ca="1"/>
        <v>46068</v>
      </c>
      <c r="K7" s="4"/>
    </row>
    <row r="8" spans="1:11" ht="83.1" customHeight="1" thickBot="1">
      <c r="A8" s="291"/>
      <c r="B8" s="292"/>
      <c r="C8" s="4"/>
      <c r="D8" s="269" t="str" cm="1">
        <f t="array" aca="1" ref="D8" ca="1">IFERROR(
  _xlfn.TEXTJOIN(CHAR(10), TRUE,
    _xlfn.LET(
      _xlpm.stores,
      _xlfn._xlws.FILTER(
        ' CVM'!$E$4:$E$58,
        INT(' CVM'!$M$4:$M$58)=INT(D$7)
      ),
      TEXT(_xlfn.SEQUENCE(ROWS(_xlpm.stores)),"0.") &amp; " " &amp; _xlpm.stores
    )
  ),
"")</f>
        <v>1. BLOWES CLOTHING
2. C.M JONES &amp; D.L JONES t/as (HP WW Central Coast)
3. HENDERSONS MENSWEAR
4. LEHMANN CAPITAL PTY LTD t/as TWW DUBBO
5. MACQUARIE CLOTHING
6. STRIPES INDUSTRIAL SUPPLIES MUDGEE P/L</v>
      </c>
      <c r="E8" s="269" t="str" cm="1">
        <f t="array" aca="1" ref="E8" ca="1">IFERROR(
  _xlfn.TEXTJOIN(CHAR(10), TRUE,
    _xlfn.LET(
      _xlpm.stores,
      _xlfn._xlws.FILTER(
        ' CVM'!$E$4:$E$58,
        INT(' CVM'!$M$4:$M$58)=INT(E$7)
      ),
      TEXT(_xlfn.SEQUENCE(ROWS(_xlpm.stores)),"0.") &amp; " " &amp; _xlpm.stores
    )
  ),
"")</f>
        <v>1. FXD SURF, WORK &amp; STREET
2. HIP POCKET WORKWEAR &amp; SAFETY NARRABRI
3. MCDONALDS FASHIONS PTY LTD
4. PURSEGLOVES CLOTHING GUNNEDAH
5. STRIPES ASSET SERVICES PTY LIMITED</v>
      </c>
      <c r="F8" s="269" t="str" cm="1">
        <f t="array" aca="1" ref="F8" ca="1">IFERROR(
  _xlfn.TEXTJOIN(CHAR(10), TRUE,
    _xlfn.LET(
      _xlpm.stores,
      _xlfn._xlws.FILTER(
        ' CVM'!$E$4:$E$58,
        INT(' CVM'!$M$4:$M$58)=INT(F$7)
      ),
      TEXT(_xlfn.SEQUENCE(ROWS(_xlpm.stores)),"0.") &amp; " " &amp; _xlpm.stores
    )
  ),
"")</f>
        <v>1. G.C KING &amp; R.  T/AS HIP POCKET INVERELL
2. HIP POCKET WORKWEAR &amp; SAFETY - MOREE 
3. LINUS GRAEME BOULIOPOULOS t/as LGB LOCKSMITH</v>
      </c>
      <c r="G8" s="269" t="str" cm="1">
        <f t="array" aca="1" ref="G8" ca="1">IFERROR(
  _xlfn.TEXTJOIN(CHAR(10), TRUE,
    _xlfn.LET(
      _xlpm.stores,
      _xlfn._xlws.FILTER(
        ' CVM'!$E$4:$E$58,
        INT(' CVM'!$M$4:$M$58)=INT(G$7)
      ),
      TEXT(_xlfn.SEQUENCE(ROWS(_xlpm.stores)),"0.") &amp; " " &amp; _xlpm.stores
    )
  ),
"")</f>
        <v>1. ALSHAE PTY LTD T/AS MONOGRAM
2. CAILANA P/L  t/as NEW ENGLAND WORKWEAR
3. PURSEGLOVES CLOTHING
4. TOTALLY WORKWEAR TAMWORTH</v>
      </c>
      <c r="H8" s="269" t="str" cm="1">
        <f t="array" aca="1" ref="H8" ca="1">IFERROR(
  _xlfn.TEXTJOIN(CHAR(10), TRUE,
    _xlfn.LET(
      _xlpm.stores,
      _xlfn._xlws.FILTER(
        ' CVM'!$E$4:$E$58,
        INT(' CVM'!$M$4:$M$58)=INT(H$7)
      ),
      TEXT(_xlfn.SEQUENCE(ROWS(_xlpm.stores)),"0.") &amp; " " &amp; _xlpm.stores
    )
  ),
"")</f>
        <v>1. BJ'S WORKWEAR NEWCASTLE PTY LTD
2. BJ'S WORKWEAR PTY LTD (SINGLETON)
3. BJ'S WORKWEAR PTY LTD (THORNTON)
4. FARRAMS CLOTHING AND FOOTWEAR, SCONE</v>
      </c>
      <c r="I8" s="269" t="str" cm="1">
        <f t="array" aca="1" ref="I8" ca="1">IFERROR(
  _xlfn.TEXTJOIN(CHAR(10), TRUE,
    _xlfn.LET(
      _xlpm.stores,
      _xlfn._xlws.FILTER(
        ' CVM'!$E$4:$E$58,
        INT(' CVM'!$M$4:$M$58)=INT(I$7)
      ),
      TEXT(_xlfn.SEQUENCE(ROWS(_xlpm.stores)),"0.") &amp; " " &amp; _xlpm.stores
    )
  ),
"")</f>
        <v/>
      </c>
      <c r="J8" s="270" t="str" cm="1">
        <f t="array" aca="1" ref="J8" ca="1">IFERROR(
  _xlfn.TEXTJOIN(CHAR(10), TRUE,
    _xlfn.LET(
      _xlpm.stores,
      _xlfn._xlws.FILTER(
        ' CVM'!$E$4:$E$58,
        INT(' CVM'!$M$4:$M$58)=INT(J$7)
      ),
      TEXT(_xlfn.SEQUENCE(ROWS(_xlpm.stores)),"0.") &amp; " " &amp; _xlpm.stores
    )
  ),
"")</f>
        <v/>
      </c>
      <c r="K8" s="4"/>
    </row>
    <row r="9" spans="1:11" ht="20.45" customHeight="1">
      <c r="A9" s="293"/>
      <c r="B9" s="294"/>
      <c r="C9" s="4"/>
      <c r="D9" s="11">
        <f t="array" aca="1" ref="D9:J9" ca="1">DaysAndWeeks+DATE(CalendarYear,2,1)-WEEKDAY(DATE(CalendarYear,2,1),(WeekStart="Mon")+1)+22</f>
        <v>46069</v>
      </c>
      <c r="E9" s="11">
        <f ca="1"/>
        <v>46070</v>
      </c>
      <c r="F9" s="11">
        <f ca="1"/>
        <v>46071</v>
      </c>
      <c r="G9" s="11">
        <f ca="1"/>
        <v>46072</v>
      </c>
      <c r="H9" s="11">
        <f ca="1"/>
        <v>46073</v>
      </c>
      <c r="I9" s="11">
        <f ca="1"/>
        <v>46074</v>
      </c>
      <c r="J9" s="12">
        <f ca="1"/>
        <v>46075</v>
      </c>
      <c r="K9" s="4"/>
    </row>
    <row r="10" spans="1:11" ht="83.1" customHeight="1" thickBot="1">
      <c r="A10" s="293"/>
      <c r="B10" s="294"/>
      <c r="C10" s="4"/>
      <c r="D10" s="269" t="str" cm="1">
        <f t="array" aca="1" ref="D10" ca="1">IFERROR(
  _xlfn.TEXTJOIN(CHAR(10), TRUE,
    _xlfn.LET(
      _xlpm.stores,
      _xlfn._xlws.FILTER(
        ' CVM'!$E$4:$E$58,
        INT(' CVM'!$M$4:$M$58)=INT(D$9)
      ),
      TEXT(_xlfn.SEQUENCE(ROWS(_xlpm.stores)),"0.") &amp; " " &amp; _xlpm.stores
    )
  ),
"")</f>
        <v/>
      </c>
      <c r="E10" s="269" t="str" cm="1">
        <f t="array" aca="1" ref="E10" ca="1">IFERROR(
  _xlfn.TEXTJOIN(CHAR(10), TRUE,
    _xlfn.LET(
      _xlpm.stores,
      _xlfn._xlws.FILTER(
        ' CVM'!$E$4:$E$58,
        INT(' CVM'!$M$4:$M$58)=INT(E$9)
      ),
      TEXT(_xlfn.SEQUENCE(ROWS(_xlpm.stores)),"0.") &amp; " " &amp; _xlpm.stores
    )
  ),
"")</f>
        <v/>
      </c>
      <c r="F10" s="269" t="str" cm="1">
        <f t="array" aca="1" ref="F10" ca="1">IFERROR(
  _xlfn.TEXTJOIN(CHAR(10), TRUE,
    _xlfn.LET(
      _xlpm.stores,
      _xlfn._xlws.FILTER(
        ' CVM'!$E$4:$E$58,
        INT(' CVM'!$M$4:$M$58)=INT(F$9)
      ),
      TEXT(_xlfn.SEQUENCE(ROWS(_xlpm.stores)),"0.") &amp; " " &amp; _xlpm.stores
    )
  ),
"")</f>
        <v/>
      </c>
      <c r="G10" s="269" t="str" cm="1">
        <f t="array" aca="1" ref="G10" ca="1">IFERROR(
  _xlfn.TEXTJOIN(CHAR(10), TRUE,
    _xlfn.LET(
      _xlpm.stores,
      _xlfn._xlws.FILTER(
        ' CVM'!$E$4:$E$58,
        INT(' CVM'!$M$4:$M$58)=INT(G$9)
      ),
      TEXT(_xlfn.SEQUENCE(ROWS(_xlpm.stores)),"0.") &amp; " " &amp; _xlpm.stores
    )
  ),
"")</f>
        <v/>
      </c>
      <c r="H10" s="269" t="str" cm="1">
        <f t="array" aca="1" ref="H10" ca="1">IFERROR(
  _xlfn.TEXTJOIN(CHAR(10), TRUE,
    _xlfn.LET(
      _xlpm.stores,
      _xlfn._xlws.FILTER(
        ' CVM'!$E$4:$E$58,
        INT(' CVM'!$M$4:$M$58)=INT(H$9)
      ),
      TEXT(_xlfn.SEQUENCE(ROWS(_xlpm.stores)),"0.") &amp; " " &amp; _xlpm.stores
    )
  ),
"")</f>
        <v/>
      </c>
      <c r="I10" s="269" t="str" cm="1">
        <f t="array" aca="1" ref="I10" ca="1">IFERROR(
  _xlfn.TEXTJOIN(CHAR(10), TRUE,
    _xlfn.LET(
      _xlpm.stores,
      _xlfn._xlws.FILTER(
        ' CVM'!$E$4:$E$58,
        INT(' CVM'!$M$4:$M$58)=INT(I$9)
      ),
      TEXT(_xlfn.SEQUENCE(ROWS(_xlpm.stores)),"0.") &amp; " " &amp; _xlpm.stores
    )
  ),
"")</f>
        <v/>
      </c>
      <c r="J10" s="270" t="str" cm="1">
        <f t="array" aca="1" ref="J10" ca="1">IFERROR(
  _xlfn.TEXTJOIN(CHAR(10), TRUE,
    _xlfn.LET(
      _xlpm.stores,
      _xlfn._xlws.FILTER(
        ' CVM'!$E$4:$E$58,
        INT(' CVM'!$M$4:$M$58)=INT(J$9)
      ),
      TEXT(_xlfn.SEQUENCE(ROWS(_xlpm.stores)),"0.") &amp; " " &amp; _xlpm.stores
    )
  ),
"")</f>
        <v/>
      </c>
      <c r="K10" s="4"/>
    </row>
    <row r="11" spans="1:11" ht="20.45" customHeight="1">
      <c r="A11" s="293"/>
      <c r="B11" s="294"/>
      <c r="C11" s="4"/>
      <c r="D11" s="11">
        <f t="array" aca="1" ref="D11:J11" ca="1">DaysAndWeeks+DATE(CalendarYear,2,1)-WEEKDAY(DATE(CalendarYear,2,1),(WeekStart="Mon")+1)+29</f>
        <v>46076</v>
      </c>
      <c r="E11" s="11">
        <f ca="1"/>
        <v>46077</v>
      </c>
      <c r="F11" s="11">
        <f ca="1"/>
        <v>46078</v>
      </c>
      <c r="G11" s="11">
        <f ca="1"/>
        <v>46079</v>
      </c>
      <c r="H11" s="11">
        <f ca="1"/>
        <v>46080</v>
      </c>
      <c r="I11" s="11">
        <f ca="1"/>
        <v>46081</v>
      </c>
      <c r="J11" s="12">
        <f ca="1"/>
        <v>46082</v>
      </c>
      <c r="K11" s="4"/>
    </row>
    <row r="12" spans="1:11" ht="83.1" customHeight="1" thickBot="1">
      <c r="A12" s="293"/>
      <c r="B12" s="294"/>
      <c r="C12" s="4"/>
      <c r="D12" s="269" t="str" cm="1">
        <f t="array" aca="1" ref="D12" ca="1">IFERROR(
  _xlfn.TEXTJOIN(CHAR(10), TRUE,
    _xlfn.LET(
      _xlpm.stores,
      _xlfn._xlws.FILTER(
        ' CVM'!$E$4:$E$58,
        INT(' CVM'!$M$4:$M$58)=INT(D$11)
      ),
      TEXT(_xlfn.SEQUENCE(ROWS(_xlpm.stores)),"0.") &amp; " " &amp; _xlpm.stores
    )
  ),
"")</f>
        <v/>
      </c>
      <c r="E12" s="269" t="str" cm="1">
        <f t="array" aca="1" ref="E12" ca="1">IFERROR(
  _xlfn.TEXTJOIN(CHAR(10), TRUE,
    _xlfn.LET(
      _xlpm.stores,
      _xlfn._xlws.FILTER(
        ' CVM'!$E$4:$E$58,
        INT(' CVM'!$M$4:$M$58)=INT(E$11)
      ),
      TEXT(_xlfn.SEQUENCE(ROWS(_xlpm.stores)),"0.") &amp; " " &amp; _xlpm.stores
    )
  ),
"")</f>
        <v/>
      </c>
      <c r="F12" s="269" t="str" cm="1">
        <f t="array" aca="1" ref="F12" ca="1">IFERROR(
  _xlfn.TEXTJOIN(CHAR(10), TRUE,
    _xlfn.LET(
      _xlpm.stores,
      _xlfn._xlws.FILTER(
        ' CVM'!$E$4:$E$58,
        INT(' CVM'!$M$4:$M$58)=INT(F$11)
      ),
      TEXT(_xlfn.SEQUENCE(ROWS(_xlpm.stores)),"0.") &amp; " " &amp; _xlpm.stores
    )
  ),
"")</f>
        <v/>
      </c>
      <c r="G12" s="269" t="str" cm="1">
        <f t="array" aca="1" ref="G12" ca="1">IFERROR(
  _xlfn.TEXTJOIN(CHAR(10), TRUE,
    _xlfn.LET(
      _xlpm.stores,
      _xlfn._xlws.FILTER(
        ' CVM'!$E$4:$E$58,
        INT(' CVM'!$M$4:$M$58)=INT(G$11)
      ),
      TEXT(_xlfn.SEQUENCE(ROWS(_xlpm.stores)),"0.") &amp; " " &amp; _xlpm.stores
    )
  ),
"")</f>
        <v/>
      </c>
      <c r="H12" s="269" t="str" cm="1">
        <f t="array" aca="1" ref="H12" ca="1">IFERROR(
  _xlfn.TEXTJOIN(CHAR(10), TRUE,
    _xlfn.LET(
      _xlpm.stores,
      _xlfn._xlws.FILTER(
        ' CVM'!$E$4:$E$58,
        INT(' CVM'!$M$4:$M$58)=INT(H$11)
      ),
      TEXT(_xlfn.SEQUENCE(ROWS(_xlpm.stores)),"0.") &amp; " " &amp; _xlpm.stores
    )
  ),
"")</f>
        <v/>
      </c>
      <c r="I12" s="269" t="str" cm="1">
        <f t="array" aca="1" ref="I12" ca="1">IFERROR(
  _xlfn.TEXTJOIN(CHAR(10), TRUE,
    _xlfn.LET(
      _xlpm.stores,
      _xlfn._xlws.FILTER(
        ' CVM'!$E$4:$E$58,
        INT(' CVM'!$M$4:$M$58)=INT(I$11)
      ),
      TEXT(_xlfn.SEQUENCE(ROWS(_xlpm.stores)),"0.") &amp; " " &amp; _xlpm.stores
    )
  ),
"")</f>
        <v/>
      </c>
      <c r="J12" s="14"/>
      <c r="K12" s="4"/>
    </row>
    <row r="13" spans="1:11" ht="20.45" customHeight="1">
      <c r="A13" s="293"/>
      <c r="B13" s="294"/>
      <c r="C13" s="4"/>
      <c r="D13" s="11">
        <f t="array" aca="1" ref="D13:J13" ca="1">DaysAndWeeks+DATE(CalendarYear,2,1)-WEEKDAY(DATE(CalendarYear,2,1),(WeekStart="Mon")+1)+36</f>
        <v>46083</v>
      </c>
      <c r="E13" s="11">
        <f ca="1"/>
        <v>46084</v>
      </c>
      <c r="F13" s="11">
        <f ca="1"/>
        <v>46085</v>
      </c>
      <c r="G13" s="11">
        <f ca="1"/>
        <v>46086</v>
      </c>
      <c r="H13" s="11">
        <f ca="1"/>
        <v>46087</v>
      </c>
      <c r="I13" s="11">
        <f ca="1"/>
        <v>46088</v>
      </c>
      <c r="J13" s="12">
        <f ca="1"/>
        <v>46089</v>
      </c>
      <c r="K13" s="4"/>
    </row>
    <row r="14" spans="1:11" ht="83.1" customHeight="1" thickBot="1">
      <c r="A14" s="295"/>
      <c r="B14" s="296"/>
      <c r="C14" s="4"/>
      <c r="D14" s="74"/>
      <c r="E14" s="74"/>
      <c r="F14" s="74"/>
      <c r="G14" s="74"/>
      <c r="H14" s="74"/>
      <c r="I14" s="74"/>
      <c r="J14" s="75"/>
      <c r="K14" s="4"/>
    </row>
    <row r="15" spans="1:11" ht="22.5" customHeight="1">
      <c r="A15" s="185"/>
      <c r="B15" s="140" t="s">
        <v>567</v>
      </c>
      <c r="C15" s="4"/>
      <c r="D15" s="4"/>
      <c r="E15" s="4"/>
      <c r="F15" s="4"/>
      <c r="G15" s="4"/>
      <c r="H15" s="4"/>
      <c r="I15" s="4"/>
      <c r="J15" s="4"/>
      <c r="K15" s="4"/>
    </row>
    <row r="16" spans="1:11" ht="15" customHeight="1">
      <c r="A16" s="186"/>
      <c r="B16" s="141" t="s">
        <v>568</v>
      </c>
      <c r="C16" s="3"/>
      <c r="D16" s="3"/>
      <c r="E16" s="3"/>
      <c r="F16" s="3"/>
      <c r="G16" s="3"/>
      <c r="H16" s="3"/>
      <c r="I16" s="3"/>
      <c r="J16" s="3"/>
      <c r="K16" s="3"/>
    </row>
    <row r="17" spans="1:2" ht="49.5" customHeight="1">
      <c r="A17" s="186"/>
      <c r="B17" s="142"/>
    </row>
    <row r="19" spans="1:2" ht="17.850000000000001" customHeight="1"/>
  </sheetData>
  <sheetProtection selectLockedCells="1" sort="0" autoFilter="0"/>
  <mergeCells count="2">
    <mergeCell ref="A8:B14"/>
    <mergeCell ref="A6:B6"/>
  </mergeCells>
  <conditionalFormatting sqref="D3:J3">
    <cfRule type="expression" dxfId="117" priority="22">
      <formula>DAY(D3)&gt;8</formula>
    </cfRule>
  </conditionalFormatting>
  <conditionalFormatting sqref="D4:I4">
    <cfRule type="expression" dxfId="116" priority="23">
      <formula>DAY(D3)&gt;8</formula>
    </cfRule>
  </conditionalFormatting>
  <conditionalFormatting sqref="D11:J11 D13:J14 J12">
    <cfRule type="expression" dxfId="115" priority="20">
      <formula>AND(DAY(D11)&gt;=1,DAY(D11)&lt;=15)</formula>
    </cfRule>
  </conditionalFormatting>
  <conditionalFormatting sqref="D13:J14 J12">
    <cfRule type="expression" dxfId="114" priority="21">
      <formula>AND(DAY(D11)&gt;=1,DAY(D11)&lt;=15)</formula>
    </cfRule>
  </conditionalFormatting>
  <conditionalFormatting sqref="D6:I6">
    <cfRule type="notContainsBlanks" dxfId="113" priority="18">
      <formula>LEN(TRIM(D6))&gt;0</formula>
    </cfRule>
  </conditionalFormatting>
  <conditionalFormatting sqref="D8:I8">
    <cfRule type="notContainsBlanks" dxfId="112" priority="3">
      <formula>LEN(TRIM(D8))&gt;0</formula>
    </cfRule>
  </conditionalFormatting>
  <conditionalFormatting sqref="D10:I10">
    <cfRule type="notContainsBlanks" dxfId="111" priority="2">
      <formula>LEN(TRIM(D10))&gt;0</formula>
    </cfRule>
  </conditionalFormatting>
  <conditionalFormatting sqref="D12:I12">
    <cfRule type="notContainsBlanks" dxfId="110" priority="1">
      <formula>LEN(TRIM(D12))&gt;0</formula>
    </cfRule>
  </conditionalFormatting>
  <dataValidations count="9">
    <dataValidation allowBlank="1" showInputMessage="1" prompt="Navigation link to the previous month" sqref="B15" xr:uid="{9E01E4B2-48EA-4C56-86AC-8B3634866E72}"/>
    <dataValidation allowBlank="1" showInputMessage="1" prompt="Calendar year, automatically determined by the year set in P4 of the January worksheet" sqref="A6" xr:uid="{4C742D1C-5E97-415B-8B51-DCC7641F4A45}"/>
    <dataValidation allowBlank="1" showInputMessage="1" prompt="Automatically determined starting day of the week. To change weekdays, select a new starting day of the week in Q4 of 'JANUARY' worksheet" sqref="D2" xr:uid="{5FDB526A-C6BF-4D9C-9371-16308104E8F3}"/>
    <dataValidation allowBlank="1" showInputMessage="1" prompt="Automatically determined weekday" sqref="E2:J2" xr:uid="{014A5A86-3123-42D4-92E7-1AD87AFFC2E7}"/>
    <dataValidation allowBlank="1" showInputMessage="1" showErrorMessage="1" prompt="February month calendar" sqref="A1" xr:uid="{C06AB14F-28E2-4888-BEE7-4DE7CACE27AD}"/>
    <dataValidation allowBlank="1" showInputMessage="1" showErrorMessage="1" prompt="Navigation link to the next month" sqref="B16" xr:uid="{BF3B6081-E634-405F-8877-A16AFE19C25F}"/>
    <dataValidation allowBlank="1" showInputMessage="1" prompt="Enter daily notes in rows 4, 6, 8, 10, 12, and 14, columns D through J" sqref="D4" xr:uid="{FEE7C4E4-4031-46FF-91B3-66E11E06AC05}"/>
    <dataValidation allowBlank="1" showInputMessage="1" showErrorMessage="1" prompt="Month for this worksheet is in this cell. Calendar is in the right contains dates from previous, current, and next month." sqref="B7" xr:uid="{BEC5B036-5DFA-41C4-A788-BA9855998EC9}"/>
    <dataValidation allowBlank="1" showInputMessage="1" prompt="Rows 3, 5, 7, 9, 11, and 13 contain dates of the month, including the previous and next month, if applicable" sqref="D3" xr:uid="{28489445-F1BF-44B8-B097-D678667B32C7}"/>
  </dataValidations>
  <hyperlinks>
    <hyperlink ref="B15" location="JANUARY!A1" tooltip="Navigation link to the next month" display=" &lt; JANUARY" xr:uid="{F37165DD-8BF8-4BF2-A871-D619E9C6241E}"/>
    <hyperlink ref="B16" location="MARCH!A1" display="&gt; MARCH" xr:uid="{B90BDC8B-D08D-4869-B1C4-C488C700E52B}"/>
  </hyperlinks>
  <printOptions horizontalCentered="1" verticalCentered="1"/>
  <pageMargins left="0.25" right="0.25" top="0.75" bottom="0.75" header="0.3" footer="0.3"/>
  <pageSetup scale="77" orientation="landscape" horizontalDpi="4294967293" verticalDpi="200" r:id="rId1"/>
  <ignoredErrors>
    <ignoredError sqref="B2:B3" unlocked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AB1B8-1FE7-4631-926A-820B15AD9CD0}">
  <sheetPr codeName="Sheet4">
    <tabColor theme="4" tint="0.79998168889431442"/>
    <pageSetUpPr fitToPage="1"/>
  </sheetPr>
  <dimension ref="A1:K19"/>
  <sheetViews>
    <sheetView showGridLines="0" zoomScaleNormal="100" workbookViewId="0">
      <selection activeCell="B2" sqref="B2"/>
    </sheetView>
  </sheetViews>
  <sheetFormatPr defaultRowHeight="14.45"/>
  <cols>
    <col min="1" max="1" width="13.44140625" customWidth="1"/>
    <col min="2" max="2" width="44.88671875" style="117" customWidth="1"/>
    <col min="3" max="3" width="4.88671875" customWidth="1"/>
    <col min="4" max="10" width="21.6640625" customWidth="1"/>
    <col min="11" max="11" width="4.88671875" customWidth="1"/>
  </cols>
  <sheetData>
    <row r="1" spans="1:11" ht="38.1" customHeight="1">
      <c r="A1" s="15"/>
      <c r="B1" s="143"/>
      <c r="C1" s="59"/>
      <c r="D1" s="60"/>
      <c r="E1" s="61"/>
      <c r="F1" s="61"/>
      <c r="G1" s="62"/>
      <c r="H1" s="63"/>
      <c r="I1" s="59"/>
      <c r="J1" s="59"/>
      <c r="K1" s="59"/>
    </row>
    <row r="2" spans="1:11" ht="25.35" customHeight="1" thickBot="1">
      <c r="A2" s="15" t="s">
        <v>552</v>
      </c>
      <c r="B2" s="144">
        <f>COUNTA(' CVM'!O4:O62)</f>
        <v>0</v>
      </c>
      <c r="C2" s="59"/>
      <c r="D2" s="64" t="str">
        <f t="shared" ref="D2:J2" ca="1" si="0">TEXT(D3,"ddd")</f>
        <v>Mon</v>
      </c>
      <c r="E2" s="64" t="str">
        <f t="shared" ca="1" si="0"/>
        <v>Tue</v>
      </c>
      <c r="F2" s="64" t="str">
        <f t="shared" ca="1" si="0"/>
        <v>Wed</v>
      </c>
      <c r="G2" s="64" t="str">
        <f t="shared" ca="1" si="0"/>
        <v>Thu</v>
      </c>
      <c r="H2" s="64" t="str">
        <f t="shared" ca="1" si="0"/>
        <v>Fri</v>
      </c>
      <c r="I2" s="64" t="str">
        <f t="shared" ca="1" si="0"/>
        <v>Sat</v>
      </c>
      <c r="J2" s="64" t="str">
        <f t="shared" ca="1" si="0"/>
        <v>Sun</v>
      </c>
      <c r="K2" s="59"/>
    </row>
    <row r="3" spans="1:11" ht="20.45" customHeight="1">
      <c r="A3" s="15" t="s">
        <v>553</v>
      </c>
      <c r="B3" s="144">
        <f>COUNTIF(' CVM'!P4:P62, TRUE)</f>
        <v>0</v>
      </c>
      <c r="C3" s="59"/>
      <c r="D3" s="67">
        <f t="array" aca="1" ref="D3:J3" ca="1">DaysAndWeeks+DATE(CalendarYear,3,1)-WEEKDAY(DATE(CalendarYear,3,1),(WeekStart="Mon")+1)+1</f>
        <v>46076</v>
      </c>
      <c r="E3" s="67">
        <f ca="1"/>
        <v>46077</v>
      </c>
      <c r="F3" s="67">
        <f ca="1"/>
        <v>46078</v>
      </c>
      <c r="G3" s="67">
        <f ca="1"/>
        <v>46079</v>
      </c>
      <c r="H3" s="67">
        <f ca="1"/>
        <v>46080</v>
      </c>
      <c r="I3" s="67">
        <f ca="1"/>
        <v>46081</v>
      </c>
      <c r="J3" s="67">
        <f ca="1"/>
        <v>46082</v>
      </c>
      <c r="K3" s="59"/>
    </row>
    <row r="4" spans="1:11" ht="83.1" customHeight="1" thickBot="1">
      <c r="A4" s="208" t="s">
        <v>557</v>
      </c>
      <c r="B4" s="183"/>
      <c r="C4" s="59"/>
      <c r="D4" s="66"/>
      <c r="E4" s="66"/>
      <c r="F4" s="66"/>
      <c r="G4" s="66"/>
      <c r="H4" s="66"/>
      <c r="I4" s="66"/>
      <c r="J4" s="88"/>
      <c r="K4" s="59"/>
    </row>
    <row r="5" spans="1:11" ht="20.45" customHeight="1">
      <c r="A5" s="15" t="s">
        <v>559</v>
      </c>
      <c r="B5" s="211">
        <v>46090</v>
      </c>
      <c r="C5" s="59"/>
      <c r="D5" s="65">
        <f t="array" aca="1" ref="D5:J5" ca="1">DaysAndWeeks+DATE(CalendarYear,3,1)-WEEKDAY(DATE(CalendarYear,3,1),(WeekStart="Mon")+1)+8</f>
        <v>46083</v>
      </c>
      <c r="E5" s="65">
        <f ca="1"/>
        <v>46084</v>
      </c>
      <c r="F5" s="65">
        <f ca="1"/>
        <v>46085</v>
      </c>
      <c r="G5" s="65">
        <f ca="1"/>
        <v>46086</v>
      </c>
      <c r="H5" s="65">
        <f ca="1"/>
        <v>46087</v>
      </c>
      <c r="I5" s="65">
        <f ca="1"/>
        <v>46088</v>
      </c>
      <c r="J5" s="65">
        <f ca="1"/>
        <v>46089</v>
      </c>
      <c r="K5" s="59"/>
    </row>
    <row r="6" spans="1:11" ht="83.1" customHeight="1" thickBot="1">
      <c r="A6" s="304" t="s">
        <v>569</v>
      </c>
      <c r="B6" s="304"/>
      <c r="C6" s="59"/>
      <c r="D6" s="88" t="str" cm="1">
        <f t="array" aca="1" ref="D6" ca="1">IFERROR(
  _xlfn.TEXTJOIN(CHAR(10), TRUE,
    _xlfn.LET(
      _xlpm.stores,
      _xlfn._xlws.FILTER(' CVM'!$E$4:$E$62, INT(' CVM'!$O$4:$O$62)=INT(D$5)),
      TEXT(_xlfn.SEQUENCE(ROWS(_xlpm.stores)),"0.") &amp; " " &amp; _xlpm.stores
    )
  ),
"")</f>
        <v/>
      </c>
      <c r="E6" s="88" t="str" cm="1">
        <f t="array" aca="1" ref="E6" ca="1">IFERROR(
  _xlfn.TEXTJOIN(CHAR(10), TRUE,
    _xlfn.LET(
      _xlpm.stores,
      _xlfn._xlws.FILTER(' CVM'!$E$4:$E$62, INT(' CVM'!$O$4:$O$62)=INT(E$5)),
      TEXT(_xlfn.SEQUENCE(ROWS(_xlpm.stores)),"0.") &amp; " " &amp; _xlpm.stores
    )
  ),
"")</f>
        <v/>
      </c>
      <c r="F6" s="88" t="str" cm="1">
        <f t="array" aca="1" ref="F6" ca="1">IFERROR(
  _xlfn.TEXTJOIN(CHAR(10), TRUE,
    _xlfn.LET(
      _xlpm.stores,
      _xlfn._xlws.FILTER(' CVM'!$E$4:$E$62, INT(' CVM'!$O$4:$O$62)=INT(F$5)),
      TEXT(_xlfn.SEQUENCE(ROWS(_xlpm.stores)),"0.") &amp; " " &amp; _xlpm.stores
    )
  ),
"")</f>
        <v/>
      </c>
      <c r="G6" s="88" t="str" cm="1">
        <f t="array" aca="1" ref="G6" ca="1">IFERROR(
  _xlfn.TEXTJOIN(CHAR(10), TRUE,
    _xlfn.LET(
      _xlpm.stores,
      _xlfn._xlws.FILTER(' CVM'!$E$4:$E$62, INT(' CVM'!$O$4:$O$62)=INT(G$5)),
      TEXT(_xlfn.SEQUENCE(ROWS(_xlpm.stores)),"0.") &amp; " " &amp; _xlpm.stores
    )
  ),
"")</f>
        <v/>
      </c>
      <c r="H6" s="88" t="str" cm="1">
        <f t="array" aca="1" ref="H6" ca="1">IFERROR(
  _xlfn.TEXTJOIN(CHAR(10), TRUE,
    _xlfn.LET(
      _xlpm.stores,
      _xlfn._xlws.FILTER(' CVM'!$E$4:$E$62, INT(' CVM'!$O$4:$O$62)=INT(H$5)),
      TEXT(_xlfn.SEQUENCE(ROWS(_xlpm.stores)),"0.") &amp; " " &amp; _xlpm.stores
    )
  ),
"")</f>
        <v/>
      </c>
      <c r="I6" s="88" t="str" cm="1">
        <f t="array" aca="1" ref="I6" ca="1">IFERROR(
  _xlfn.TEXTJOIN(CHAR(10), TRUE,
    _xlfn.LET(
      _xlpm.stores,
      _xlfn._xlws.FILTER(' CVM'!$E$4:$E$62, INT(' CVM'!$O$4:$O$62)=INT(I$5)),
      TEXT(_xlfn.SEQUENCE(ROWS(_xlpm.stores)),"0.") &amp; " " &amp; _xlpm.stores
    )
  ),
"")</f>
        <v/>
      </c>
      <c r="J6" s="88" t="str" cm="1">
        <f t="array" aca="1" ref="J6" ca="1">IFERROR(
  _xlfn.TEXTJOIN(CHAR(10), TRUE,
    _xlfn.LET(
      _xlpm.stores,
      _xlfn._xlws.FILTER(' CVM'!$E$4:$E$62, INT(' CVM'!$O$4:$O$62)=INT(J$5)),
      TEXT(_xlfn.SEQUENCE(ROWS(_xlpm.stores)),"0.") &amp; " " &amp; _xlpm.stores
    )
  ),
"")</f>
        <v/>
      </c>
      <c r="K6" s="59"/>
    </row>
    <row r="7" spans="1:11" ht="20.45" customHeight="1" thickBot="1">
      <c r="A7" s="178" t="s">
        <v>494</v>
      </c>
      <c r="B7" s="145"/>
      <c r="C7" s="59"/>
      <c r="D7" s="65">
        <f t="array" aca="1" ref="D7:J7" ca="1">DaysAndWeeks+DATE(CalendarYear,3,1)-WEEKDAY(DATE(CalendarYear,3,1),(WeekStart="Mon")+1)+15</f>
        <v>46090</v>
      </c>
      <c r="E7" s="65">
        <f ca="1"/>
        <v>46091</v>
      </c>
      <c r="F7" s="65">
        <f ca="1"/>
        <v>46092</v>
      </c>
      <c r="G7" s="65">
        <f ca="1"/>
        <v>46093</v>
      </c>
      <c r="H7" s="65">
        <f ca="1"/>
        <v>46094</v>
      </c>
      <c r="I7" s="65">
        <f ca="1"/>
        <v>46095</v>
      </c>
      <c r="J7" s="65">
        <f ca="1"/>
        <v>46096</v>
      </c>
      <c r="K7" s="59"/>
    </row>
    <row r="8" spans="1:11" ht="83.1" customHeight="1" thickBot="1">
      <c r="A8" s="298"/>
      <c r="B8" s="299"/>
      <c r="C8" s="59"/>
      <c r="D8" s="212"/>
      <c r="E8" s="88" t="str" cm="1">
        <f t="array" aca="1" ref="E8" ca="1">IFERROR(
  _xlfn.TEXTJOIN(CHAR(10), TRUE,
    _xlfn.LET(
      _xlpm.stores,
      _xlfn._xlws.FILTER(' CVM'!$E$4:$E$62, INT(' CVM'!$O$4:$O$62)=INT(E$7)),
      TEXT(_xlfn.SEQUENCE(ROWS(_xlpm.stores)),"0.") &amp; " " &amp; _xlpm.stores
    )
  ),
"")</f>
        <v/>
      </c>
      <c r="F8" s="88" t="str" cm="1">
        <f t="array" aca="1" ref="F8" ca="1">IFERROR(
  _xlfn.TEXTJOIN(CHAR(10), TRUE,
    _xlfn.LET(
      _xlpm.stores,
      _xlfn._xlws.FILTER(' CVM'!$E$4:$E$62, INT(' CVM'!$O$4:$O$62)=INT(F$7)),
      TEXT(_xlfn.SEQUENCE(ROWS(_xlpm.stores)),"0.") &amp; " " &amp; _xlpm.stores
    )
  ),
"")</f>
        <v/>
      </c>
      <c r="G8" s="88" t="str" cm="1">
        <f t="array" aca="1" ref="G8" ca="1">IFERROR(
  _xlfn.TEXTJOIN(CHAR(10), TRUE,
    _xlfn.LET(
      _xlpm.stores,
      _xlfn._xlws.FILTER(' CVM'!$E$4:$E$62, INT(' CVM'!$O$4:$O$62)=INT(G$7)),
      TEXT(_xlfn.SEQUENCE(ROWS(_xlpm.stores)),"0.") &amp; " " &amp; _xlpm.stores
    )
  ),
"")</f>
        <v/>
      </c>
      <c r="H8" s="88" t="str" cm="1">
        <f t="array" aca="1" ref="H8" ca="1">IFERROR(
  _xlfn.TEXTJOIN(CHAR(10), TRUE,
    _xlfn.LET(
      _xlpm.stores,
      _xlfn._xlws.FILTER(' CVM'!$E$4:$E$62, INT(' CVM'!$O$4:$O$62)=INT(H$7)),
      TEXT(_xlfn.SEQUENCE(ROWS(_xlpm.stores)),"0.") &amp; " " &amp; _xlpm.stores
    )
  ),
"")</f>
        <v/>
      </c>
      <c r="I8" s="88" t="str" cm="1">
        <f t="array" aca="1" ref="I8" ca="1">IFERROR(
  _xlfn.TEXTJOIN(CHAR(10), TRUE,
    _xlfn.LET(
      _xlpm.stores,
      _xlfn._xlws.FILTER(' CVM'!$E$4:$E$62, INT(' CVM'!$O$4:$O$62)=INT(I$7)),
      TEXT(_xlfn.SEQUENCE(ROWS(_xlpm.stores)),"0.") &amp; " " &amp; _xlpm.stores
    )
  ),
"")</f>
        <v/>
      </c>
      <c r="J8" s="88" t="str" cm="1">
        <f t="array" aca="1" ref="J8" ca="1">IFERROR(
  _xlfn.TEXTJOIN(CHAR(10), TRUE,
    _xlfn.LET(
      _xlpm.stores,
      _xlfn._xlws.FILTER(' CVM'!$E$4:$E$62, INT(' CVM'!$O$4:$O$62)=INT(J$7)),
      TEXT(_xlfn.SEQUENCE(ROWS(_xlpm.stores)),"0.") &amp; " " &amp; _xlpm.stores
    )
  ),
"")</f>
        <v/>
      </c>
      <c r="K8" s="59"/>
    </row>
    <row r="9" spans="1:11" ht="20.45" customHeight="1">
      <c r="A9" s="300"/>
      <c r="B9" s="301"/>
      <c r="C9" s="59"/>
      <c r="D9" s="65">
        <f t="array" aca="1" ref="D9:J9" ca="1">DaysAndWeeks+DATE(CalendarYear,3,1)-WEEKDAY(DATE(CalendarYear,3,1),(WeekStart="Mon")+1)+22</f>
        <v>46097</v>
      </c>
      <c r="E9" s="65">
        <f ca="1"/>
        <v>46098</v>
      </c>
      <c r="F9" s="65">
        <f ca="1"/>
        <v>46099</v>
      </c>
      <c r="G9" s="65">
        <f ca="1"/>
        <v>46100</v>
      </c>
      <c r="H9" s="65">
        <f ca="1"/>
        <v>46101</v>
      </c>
      <c r="I9" s="65">
        <f ca="1"/>
        <v>46102</v>
      </c>
      <c r="J9" s="65">
        <f ca="1"/>
        <v>46103</v>
      </c>
      <c r="K9" s="59"/>
    </row>
    <row r="10" spans="1:11" ht="83.1" customHeight="1" thickBot="1">
      <c r="A10" s="300"/>
      <c r="B10" s="301"/>
      <c r="C10" s="59"/>
      <c r="D10" s="88" t="str" cm="1">
        <f t="array" aca="1" ref="D10" ca="1">IFERROR(
  _xlfn.TEXTJOIN(CHAR(10), TRUE,
    _xlfn.LET(
      _xlpm.stores,
      _xlfn._xlws.FILTER(' CVM'!$E$4:$E$62, INT(' CVM'!$O$4:$O$62)=INT(D$9)),
      TEXT(_xlfn.SEQUENCE(ROWS(_xlpm.stores)),"0.") &amp; " " &amp; _xlpm.stores
    )
  ),
"")</f>
        <v/>
      </c>
      <c r="E10" s="88" t="str" cm="1">
        <f t="array" aca="1" ref="E10" ca="1">IFERROR(
  _xlfn.TEXTJOIN(CHAR(10), TRUE,
    _xlfn.LET(
      _xlpm.stores,
      _xlfn._xlws.FILTER(' CVM'!$E$4:$E$62, INT(' CVM'!$O$4:$O$62)=INT(E$9)),
      TEXT(_xlfn.SEQUENCE(ROWS(_xlpm.stores)),"0.") &amp; " " &amp; _xlpm.stores
    )
  ),
"")</f>
        <v/>
      </c>
      <c r="F10" s="88" t="str" cm="1">
        <f t="array" aca="1" ref="F10" ca="1">IFERROR(
  _xlfn.TEXTJOIN(CHAR(10), TRUE,
    _xlfn.LET(
      _xlpm.stores,
      _xlfn._xlws.FILTER(' CVM'!$E$4:$E$62, INT(' CVM'!$O$4:$O$62)=INT(F$9)),
      TEXT(_xlfn.SEQUENCE(ROWS(_xlpm.stores)),"0.") &amp; " " &amp; _xlpm.stores
    )
  ),
"")</f>
        <v/>
      </c>
      <c r="G10" s="88" t="str" cm="1">
        <f t="array" aca="1" ref="G10" ca="1">IFERROR(
  _xlfn.TEXTJOIN(CHAR(10), TRUE,
    _xlfn.LET(
      _xlpm.stores,
      _xlfn._xlws.FILTER(' CVM'!$E$4:$E$62, INT(' CVM'!$O$4:$O$62)=INT(G$9)),
      TEXT(_xlfn.SEQUENCE(ROWS(_xlpm.stores)),"0.") &amp; " " &amp; _xlpm.stores
    )
  ),
"")</f>
        <v/>
      </c>
      <c r="H10" s="88" t="str" cm="1">
        <f t="array" aca="1" ref="H10" ca="1">IFERROR(
  _xlfn.TEXTJOIN(CHAR(10), TRUE,
    _xlfn.LET(
      _xlpm.stores,
      _xlfn._xlws.FILTER(' CVM'!$E$4:$E$62, INT(' CVM'!$O$4:$O$62)=INT(H$9)),
      TEXT(_xlfn.SEQUENCE(ROWS(_xlpm.stores)),"0.") &amp; " " &amp; _xlpm.stores
    )
  ),
"")</f>
        <v/>
      </c>
      <c r="I10" s="88" t="str" cm="1">
        <f t="array" aca="1" ref="I10" ca="1">IFERROR(
  _xlfn.TEXTJOIN(CHAR(10), TRUE,
    _xlfn.LET(
      _xlpm.stores,
      _xlfn._xlws.FILTER(' CVM'!$E$4:$E$62, INT(' CVM'!$O$4:$O$62)=INT(I$9)),
      TEXT(_xlfn.SEQUENCE(ROWS(_xlpm.stores)),"0.") &amp; " " &amp; _xlpm.stores
    )
  ),
"")</f>
        <v/>
      </c>
      <c r="J10" s="88" t="str" cm="1">
        <f t="array" aca="1" ref="J10" ca="1">IFERROR(
  _xlfn.TEXTJOIN(CHAR(10), TRUE,
    _xlfn.LET(
      _xlpm.stores,
      _xlfn._xlws.FILTER(' CVM'!$E$4:$E$62, INT(' CVM'!$O$4:$O$62)=INT(J$9)),
      TEXT(_xlfn.SEQUENCE(ROWS(_xlpm.stores)),"0.") &amp; " " &amp; _xlpm.stores
    )
  ),
"")</f>
        <v/>
      </c>
      <c r="K10" s="59"/>
    </row>
    <row r="11" spans="1:11" ht="20.45" customHeight="1">
      <c r="A11" s="300"/>
      <c r="B11" s="301"/>
      <c r="C11" s="59"/>
      <c r="D11" s="65">
        <f t="array" aca="1" ref="D11:J11" ca="1">DaysAndWeeks+DATE(CalendarYear,3,1)-WEEKDAY(DATE(CalendarYear,3,1),(WeekStart="Mon")+1)+29</f>
        <v>46104</v>
      </c>
      <c r="E11" s="65">
        <f ca="1"/>
        <v>46105</v>
      </c>
      <c r="F11" s="65">
        <f ca="1"/>
        <v>46106</v>
      </c>
      <c r="G11" s="65">
        <f ca="1"/>
        <v>46107</v>
      </c>
      <c r="H11" s="65">
        <f ca="1"/>
        <v>46108</v>
      </c>
      <c r="I11" s="65">
        <f ca="1"/>
        <v>46109</v>
      </c>
      <c r="J11" s="65">
        <f ca="1"/>
        <v>46110</v>
      </c>
      <c r="K11" s="59"/>
    </row>
    <row r="12" spans="1:11" ht="83.1" customHeight="1" thickBot="1">
      <c r="A12" s="300"/>
      <c r="B12" s="301"/>
      <c r="C12" s="59"/>
      <c r="D12" s="88" t="str" cm="1">
        <f t="array" aca="1" ref="D12" ca="1">IFERROR(
  _xlfn.TEXTJOIN(CHAR(10), TRUE,
    _xlfn.LET(
      _xlpm.stores,
      _xlfn._xlws.FILTER(' CVM'!$E$4:$E$62, INT(' CVM'!$O$4:$O$62)=INT(D$11)),
      TEXT(_xlfn.SEQUENCE(ROWS(_xlpm.stores)),"0.") &amp; " " &amp; _xlpm.stores
    )
  ),
"")</f>
        <v/>
      </c>
      <c r="E12" s="88" t="str" cm="1">
        <f t="array" aca="1" ref="E12" ca="1">IFERROR(
  _xlfn.TEXTJOIN(CHAR(10), TRUE,
    _xlfn.LET(
      _xlpm.stores,
      _xlfn._xlws.FILTER(' CVM'!$E$4:$E$62, INT(' CVM'!$O$4:$O$62)=INT(E$11)),
      TEXT(_xlfn.SEQUENCE(ROWS(_xlpm.stores)),"0.") &amp; " " &amp; _xlpm.stores
    )
  ),
"")</f>
        <v/>
      </c>
      <c r="F12" s="88" t="str" cm="1">
        <f t="array" aca="1" ref="F12" ca="1">IFERROR(
  _xlfn.TEXTJOIN(CHAR(10), TRUE,
    _xlfn.LET(
      _xlpm.stores,
      _xlfn._xlws.FILTER(' CVM'!$E$4:$E$62, INT(' CVM'!$O$4:$O$62)=INT(F$11)),
      TEXT(_xlfn.SEQUENCE(ROWS(_xlpm.stores)),"0.") &amp; " " &amp; _xlpm.stores
    )
  ),
"")</f>
        <v/>
      </c>
      <c r="G12" s="88" t="str" cm="1">
        <f t="array" aca="1" ref="G12" ca="1">IFERROR(
  _xlfn.TEXTJOIN(CHAR(10), TRUE,
    _xlfn.LET(
      _xlpm.stores,
      _xlfn._xlws.FILTER(' CVM'!$E$4:$E$62, INT(' CVM'!$O$4:$O$62)=INT(G$11)),
      TEXT(_xlfn.SEQUENCE(ROWS(_xlpm.stores)),"0.") &amp; " " &amp; _xlpm.stores
    )
  ),
"")</f>
        <v/>
      </c>
      <c r="H12" s="88" t="str" cm="1">
        <f t="array" aca="1" ref="H12" ca="1">IFERROR(
  _xlfn.TEXTJOIN(CHAR(10), TRUE,
    _xlfn.LET(
      _xlpm.stores,
      _xlfn._xlws.FILTER(' CVM'!$E$4:$E$62, INT(' CVM'!$O$4:$O$62)=INT(H$11)),
      TEXT(_xlfn.SEQUENCE(ROWS(_xlpm.stores)),"0.") &amp; " " &amp; _xlpm.stores
    )
  ),
"")</f>
        <v/>
      </c>
      <c r="I12" s="88" t="str" cm="1">
        <f t="array" aca="1" ref="I12" ca="1">IFERROR(
  _xlfn.TEXTJOIN(CHAR(10), TRUE,
    _xlfn.LET(
      _xlpm.stores,
      _xlfn._xlws.FILTER(' CVM'!$E$4:$E$62, INT(' CVM'!$O$4:$O$62)=INT(I$11)),
      TEXT(_xlfn.SEQUENCE(ROWS(_xlpm.stores)),"0.") &amp; " " &amp; _xlpm.stores
    )
  ),
"")</f>
        <v/>
      </c>
      <c r="J12" s="88" t="str" cm="1">
        <f t="array" aca="1" ref="J12" ca="1">IFERROR(
  _xlfn.TEXTJOIN(CHAR(10), TRUE,
    _xlfn.LET(
      _xlpm.stores,
      _xlfn._xlws.FILTER(' CVM'!$E$4:$E$62, INT(' CVM'!$O$4:$O$62)=INT(J$11)),
      TEXT(_xlfn.SEQUENCE(ROWS(_xlpm.stores)),"0.") &amp; " " &amp; _xlpm.stores
    )
  ),
"")</f>
        <v/>
      </c>
      <c r="K12" s="59"/>
    </row>
    <row r="13" spans="1:11" ht="20.45" customHeight="1" thickBot="1">
      <c r="A13" s="302"/>
      <c r="B13" s="303"/>
      <c r="C13" s="59"/>
      <c r="D13" s="65">
        <f t="array" aca="1" ref="D13:J13" ca="1">DaysAndWeeks+DATE(CalendarYear,3,1)-WEEKDAY(DATE(CalendarYear,3,1),(WeekStart="Mon")+1)+36</f>
        <v>46111</v>
      </c>
      <c r="E13" s="65">
        <f ca="1"/>
        <v>46112</v>
      </c>
      <c r="F13" s="65">
        <f ca="1"/>
        <v>46113</v>
      </c>
      <c r="G13" s="65">
        <f ca="1"/>
        <v>46114</v>
      </c>
      <c r="H13" s="65">
        <f ca="1"/>
        <v>46115</v>
      </c>
      <c r="I13" s="65">
        <f ca="1"/>
        <v>46116</v>
      </c>
      <c r="J13" s="65">
        <f ca="1"/>
        <v>46117</v>
      </c>
      <c r="K13" s="59"/>
    </row>
    <row r="14" spans="1:11" ht="83.1" customHeight="1" thickBot="1">
      <c r="A14" s="58"/>
      <c r="B14" s="149" t="s">
        <v>570</v>
      </c>
      <c r="C14" s="59"/>
      <c r="D14" s="88" t="str" cm="1">
        <f t="array" aca="1" ref="D14" ca="1">IFERROR(
  _xlfn.TEXTJOIN(CHAR(10), TRUE,
    _xlfn.LET(
      _xlpm.stores,
      _xlfn._xlws.FILTER(' CVM'!$E$4:$E$62, INT(' CVM'!$O$4:$O$62)=INT(D$13)),
      TEXT(_xlfn.SEQUENCE(ROWS(_xlpm.stores)),"0.") &amp; " " &amp; _xlpm.stores
    )
  ),
"")</f>
        <v/>
      </c>
      <c r="E14" s="88" t="str" cm="1">
        <f t="array" aca="1" ref="E14" ca="1">IFERROR(
  _xlfn.TEXTJOIN(CHAR(10), TRUE,
    _xlfn.LET(
      _xlpm.stores,
      _xlfn._xlws.FILTER(' CVM'!$E$4:$E$62, INT(' CVM'!$O$4:$O$62)=INT(E$13)),
      TEXT(_xlfn.SEQUENCE(ROWS(_xlpm.stores)),"0.") &amp; " " &amp; _xlpm.stores
    )
  ),
"")</f>
        <v/>
      </c>
      <c r="F14" s="66"/>
      <c r="G14" s="66"/>
      <c r="H14" s="66"/>
      <c r="I14" s="66"/>
      <c r="J14" s="66"/>
      <c r="K14" s="59"/>
    </row>
    <row r="15" spans="1:11" ht="22.5" customHeight="1">
      <c r="A15" s="2"/>
      <c r="B15" s="150" t="s">
        <v>571</v>
      </c>
      <c r="C15" s="59"/>
      <c r="D15" s="59"/>
      <c r="E15" s="59"/>
      <c r="F15" s="59"/>
      <c r="G15" s="59"/>
      <c r="H15" s="59"/>
      <c r="I15" s="59"/>
      <c r="J15" s="59"/>
      <c r="K15" s="59"/>
    </row>
    <row r="16" spans="1:11" ht="15" customHeight="1">
      <c r="A16" s="2"/>
      <c r="B16" s="145"/>
      <c r="C16" s="59"/>
      <c r="D16" s="59"/>
      <c r="E16" s="59"/>
      <c r="F16" s="59"/>
      <c r="G16" s="59"/>
      <c r="H16" s="59"/>
      <c r="I16" s="59"/>
      <c r="J16" s="59"/>
      <c r="K16" s="59"/>
    </row>
    <row r="17" spans="2:2" ht="49.5" customHeight="1">
      <c r="B17" s="151"/>
    </row>
    <row r="19" spans="2:2" ht="17.850000000000001" customHeight="1"/>
  </sheetData>
  <sheetProtection selectLockedCells="1" sort="0" autoFilter="0"/>
  <mergeCells count="2">
    <mergeCell ref="A8:B13"/>
    <mergeCell ref="A6:B6"/>
  </mergeCells>
  <conditionalFormatting sqref="D3:J3">
    <cfRule type="expression" dxfId="109" priority="31">
      <formula>DAY(D3)&gt;8</formula>
    </cfRule>
  </conditionalFormatting>
  <conditionalFormatting sqref="D4:I4">
    <cfRule type="expression" dxfId="108" priority="32">
      <formula>DAY(D3)&gt;8</formula>
    </cfRule>
  </conditionalFormatting>
  <conditionalFormatting sqref="D11:J11 D13:J13 F14:J14">
    <cfRule type="expression" dxfId="107" priority="29">
      <formula>AND(DAY(D11)&gt;=1,DAY(D11)&lt;=15)</formula>
    </cfRule>
  </conditionalFormatting>
  <conditionalFormatting sqref="D13:J13 F14:J14">
    <cfRule type="expression" dxfId="106" priority="30">
      <formula>AND(DAY(D12)&gt;=1,DAY(D12)&lt;=15)</formula>
    </cfRule>
  </conditionalFormatting>
  <conditionalFormatting sqref="D6:J6">
    <cfRule type="containsBlanks" dxfId="105" priority="27">
      <formula>LEN(TRIM(D6))=0</formula>
    </cfRule>
    <cfRule type="notContainsBlanks" dxfId="104" priority="28">
      <formula>LEN(TRIM(D6))&gt;0</formula>
    </cfRule>
  </conditionalFormatting>
  <conditionalFormatting sqref="J4">
    <cfRule type="containsBlanks" dxfId="103" priority="17">
      <formula>LEN(TRIM(J4))=0</formula>
    </cfRule>
    <cfRule type="notContainsBlanks" dxfId="102" priority="18">
      <formula>LEN(TRIM(J4))&gt;0</formula>
    </cfRule>
  </conditionalFormatting>
  <conditionalFormatting sqref="E8:J8">
    <cfRule type="containsBlanks" dxfId="101" priority="7">
      <formula>LEN(TRIM(E8))=0</formula>
    </cfRule>
    <cfRule type="notContainsBlanks" dxfId="100" priority="8">
      <formula>LEN(TRIM(E8))&gt;0</formula>
    </cfRule>
  </conditionalFormatting>
  <conditionalFormatting sqref="D10:J10">
    <cfRule type="containsBlanks" dxfId="99" priority="5">
      <formula>LEN(TRIM(D10))=0</formula>
    </cfRule>
    <cfRule type="notContainsBlanks" dxfId="98" priority="6">
      <formula>LEN(TRIM(D10))&gt;0</formula>
    </cfRule>
  </conditionalFormatting>
  <conditionalFormatting sqref="D12:J12">
    <cfRule type="containsBlanks" dxfId="97" priority="3">
      <formula>LEN(TRIM(D12))=0</formula>
    </cfRule>
    <cfRule type="notContainsBlanks" dxfId="96" priority="4">
      <formula>LEN(TRIM(D12))&gt;0</formula>
    </cfRule>
  </conditionalFormatting>
  <conditionalFormatting sqref="D14:E14">
    <cfRule type="containsBlanks" dxfId="95" priority="1">
      <formula>LEN(TRIM(D14))=0</formula>
    </cfRule>
    <cfRule type="notContainsBlanks" dxfId="94" priority="2">
      <formula>LEN(TRIM(D14))&gt;0</formula>
    </cfRule>
  </conditionalFormatting>
  <dataValidations count="9">
    <dataValidation allowBlank="1" showInputMessage="1" prompt="Navigation link to the previous month" sqref="B14" xr:uid="{899EAEF9-BCC7-4E35-AEA9-0DF8E08E7820}"/>
    <dataValidation allowBlank="1" showInputMessage="1" prompt="Calendar year, automatically determined by the year set in P4 of the January worksheet" sqref="B5" xr:uid="{FA8A31E2-A9BB-400D-A822-6D9CFCE610EF}"/>
    <dataValidation allowBlank="1" showInputMessage="1" prompt="Automatically determined starting day of the week. To change weekdays, select a new starting day of the week in Q4 of 'JANUARY' worksheet" sqref="D2" xr:uid="{F0C325EA-4F9F-49CC-947E-F8E19B3D9479}"/>
    <dataValidation allowBlank="1" showInputMessage="1" prompt="Automatically determined weekday" sqref="E2:J2" xr:uid="{B9F672EB-3294-4B5F-B1DD-0308B1AB6F40}"/>
    <dataValidation allowBlank="1" showInputMessage="1" showErrorMessage="1" prompt="March month calendar" sqref="A1" xr:uid="{F2D3CDF6-8405-4A0B-A170-24B375870AAE}"/>
    <dataValidation allowBlank="1" showInputMessage="1" prompt="Rows 3, 5, 7, 9, 11, and 13 contain dates of the month, including the previous and next month, if applicable" sqref="D3" xr:uid="{61BE55B5-AB31-4B95-AD15-949C43884EDE}"/>
    <dataValidation allowBlank="1" showInputMessage="1" showErrorMessage="1" prompt="Month for this worksheet is in this cell. Calendar is in the right contains dates from previous, current, and next month." sqref="A6" xr:uid="{9169BA44-7342-4A20-BB27-AB01C9B9EA9B}"/>
    <dataValidation allowBlank="1" showInputMessage="1" prompt="Enter daily notes in rows 4, 6, 8, 10, 12, and 14, columns D through J" sqref="D4" xr:uid="{5E535046-A9D5-4046-BFC8-7AFDE324018E}"/>
    <dataValidation allowBlank="1" showInputMessage="1" showErrorMessage="1" prompt="Navigation link to the next month" sqref="B15" xr:uid="{91493A71-F48B-40CD-BBC0-257F81151A0F}"/>
  </dataValidations>
  <hyperlinks>
    <hyperlink ref="B14" location="FEBRUARY!A1" tooltip="Navigation link to the next month" display=" &lt; FEBRUARY" xr:uid="{74D92AA1-19DF-462D-A5BA-C0BD4929ED46}"/>
    <hyperlink ref="B15" location="APRIL!A1" display="&gt; APRIL" xr:uid="{D381A61F-C66C-4725-A5EB-2899F0CAF812}"/>
  </hyperlinks>
  <printOptions horizontalCentered="1" verticalCentered="1"/>
  <pageMargins left="0.25" right="0.25" top="0.75" bottom="0.75" header="0.3" footer="0.3"/>
  <pageSetup scale="77" orientation="landscape" horizontalDpi="4294967293" verticalDpi="200" r:id="rId1"/>
  <ignoredErrors>
    <ignoredError sqref="B2:B3" unlocked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36991-4602-48C3-AC31-EEE92B1E22F7}">
  <sheetPr codeName="Sheet5">
    <tabColor theme="6" tint="0.79998168889431442"/>
    <pageSetUpPr fitToPage="1"/>
  </sheetPr>
  <dimension ref="A1:K19"/>
  <sheetViews>
    <sheetView showGridLines="0" zoomScaleNormal="100" workbookViewId="0">
      <selection activeCell="B2" sqref="B2"/>
    </sheetView>
  </sheetViews>
  <sheetFormatPr defaultRowHeight="14.45"/>
  <cols>
    <col min="1" max="1" width="12.109375" bestFit="1" customWidth="1"/>
    <col min="2" max="2" width="40.33203125" style="117" customWidth="1"/>
    <col min="3" max="3" width="4.88671875" customWidth="1"/>
    <col min="4" max="10" width="21.77734375" customWidth="1"/>
    <col min="11" max="11" width="4.88671875" customWidth="1"/>
  </cols>
  <sheetData>
    <row r="1" spans="1:11" ht="38.1" customHeight="1">
      <c r="A1" s="16"/>
      <c r="B1" s="152"/>
      <c r="C1" s="19"/>
      <c r="D1" s="20"/>
      <c r="E1" s="21"/>
      <c r="F1" s="21"/>
      <c r="G1" s="21"/>
      <c r="H1" s="22"/>
      <c r="I1" s="19"/>
      <c r="J1" s="19"/>
      <c r="K1" s="19"/>
    </row>
    <row r="2" spans="1:11" ht="25.35" customHeight="1" thickBot="1">
      <c r="A2" s="190" t="s">
        <v>552</v>
      </c>
      <c r="B2" s="191">
        <f>COUNTA(' CVM'!Q4:Q62)</f>
        <v>0</v>
      </c>
      <c r="C2" s="19"/>
      <c r="D2" s="24" t="str">
        <f t="shared" ref="D2:J2" ca="1" si="0">TEXT(D3,"ddd")</f>
        <v>Mon</v>
      </c>
      <c r="E2" s="24" t="str">
        <f t="shared" ca="1" si="0"/>
        <v>Tue</v>
      </c>
      <c r="F2" s="24" t="str">
        <f t="shared" ca="1" si="0"/>
        <v>Wed</v>
      </c>
      <c r="G2" s="24" t="str">
        <f t="shared" ca="1" si="0"/>
        <v>Thu</v>
      </c>
      <c r="H2" s="24" t="str">
        <f t="shared" ca="1" si="0"/>
        <v>Fri</v>
      </c>
      <c r="I2" s="24" t="str">
        <f t="shared" ca="1" si="0"/>
        <v>Sat</v>
      </c>
      <c r="J2" s="24" t="str">
        <f t="shared" ca="1" si="0"/>
        <v>Sun</v>
      </c>
      <c r="K2" s="19"/>
    </row>
    <row r="3" spans="1:11" ht="20.45" customHeight="1">
      <c r="A3" s="190" t="s">
        <v>553</v>
      </c>
      <c r="B3" s="191">
        <f>COUNTIF(' CVM'!R4:R62, TRUE)</f>
        <v>0</v>
      </c>
      <c r="C3" s="19"/>
      <c r="D3" s="26">
        <f t="array" aca="1" ref="D3:J3" ca="1">DaysAndWeeks+DATE(CalendarYear,4,1)-WEEKDAY(DATE(CalendarYear,4,1),(WeekStart="Mon")+1)+1</f>
        <v>46111</v>
      </c>
      <c r="E3" s="26">
        <f ca="1"/>
        <v>46112</v>
      </c>
      <c r="F3" s="26">
        <f ca="1"/>
        <v>46113</v>
      </c>
      <c r="G3" s="26">
        <f ca="1"/>
        <v>46114</v>
      </c>
      <c r="H3" s="26">
        <f ca="1"/>
        <v>46115</v>
      </c>
      <c r="I3" s="26">
        <f ca="1"/>
        <v>46116</v>
      </c>
      <c r="J3" s="26">
        <f ca="1"/>
        <v>46117</v>
      </c>
      <c r="K3" s="19"/>
    </row>
    <row r="4" spans="1:11" ht="83.1" customHeight="1" thickBot="1">
      <c r="A4" s="192" t="s">
        <v>557</v>
      </c>
      <c r="B4" s="192"/>
      <c r="C4" s="19"/>
      <c r="D4" s="25"/>
      <c r="E4" s="25"/>
      <c r="F4" s="92" t="str" cm="1">
        <f t="array" aca="1" ref="F4" ca="1">IFERROR(
  _xlfn.TEXTJOIN(CHAR(10), TRUE,
    _xlfn.LET(
      _xlpm.stores,
      _xlfn._xlws.FILTER(' CVM'!$E$4:$E$62, INT(' CVM'!$Q$4:$Q$62)=INT(F$3)),
      TEXT(_xlfn.SEQUENCE(ROWS(_xlpm.stores)),"0.") &amp; " " &amp; _xlpm.stores
    )
  ),
"")</f>
        <v/>
      </c>
      <c r="G4" s="92" t="str" cm="1">
        <f t="array" aca="1" ref="G4" ca="1">IFERROR(
  _xlfn.TEXTJOIN(CHAR(10), TRUE,
    _xlfn.LET(
      _xlpm.stores,
      _xlfn._xlws.FILTER(' CVM'!$E$4:$E$62, INT(' CVM'!$Q$4:$Q$62)=INT(G$3)),
      TEXT(_xlfn.SEQUENCE(ROWS(_xlpm.stores)),"0.") &amp; " " &amp; _xlpm.stores
    )
  ),
"")</f>
        <v/>
      </c>
      <c r="H4" s="214" t="str" cm="1">
        <f t="array" aca="1" ref="H4" ca="1">IFERROR(
  _xlfn.TEXTJOIN(CHAR(10), TRUE,
    _xlfn.LET(
      _xlpm.stores,
      _xlfn._xlws.FILTER('[2] CVM'!$E$3:$E$515, INT('[2] CVM'!$O$3:$O$515)=INT(H$3)),
      TEXT(_xlfn.SEQUENCE(ROWS(_xlpm.stores)),"0.") &amp; " " &amp; _xlpm.stores
    )
  ),
"")</f>
        <v/>
      </c>
      <c r="I4" s="92" t="str" cm="1">
        <f t="array" aca="1" ref="I4" ca="1">IFERROR(
  _xlfn.TEXTJOIN(CHAR(10), TRUE,
    _xlfn.LET(
      _xlpm.stores,
      _xlfn._xlws.FILTER(' CVM'!$E$4:$E$62, INT(' CVM'!$Q$4:$Q$62)=INT(I$3)),
      TEXT(_xlfn.SEQUENCE(ROWS(_xlpm.stores)),"0.") &amp; " " &amp; _xlpm.stores
    )
  ),
"")</f>
        <v/>
      </c>
      <c r="J4" s="92" t="str" cm="1">
        <f t="array" aca="1" ref="J4" ca="1">IFERROR(
  _xlfn.TEXTJOIN(CHAR(10), TRUE,
    _xlfn.LET(
      _xlpm.stores,
      _xlfn._xlws.FILTER(' CVM'!$E$4:$E$62, INT(' CVM'!$Q$4:$Q$62)=INT(J$3)),
      TEXT(_xlfn.SEQUENCE(ROWS(_xlpm.stores)),"0.") &amp; " " &amp; _xlpm.stores
    )
  ),
"")</f>
        <v/>
      </c>
      <c r="K4" s="19"/>
    </row>
    <row r="5" spans="1:11" ht="20.45" customHeight="1">
      <c r="A5" s="192" t="s">
        <v>559</v>
      </c>
      <c r="B5" s="192" t="s">
        <v>572</v>
      </c>
      <c r="C5" s="19"/>
      <c r="D5" s="26">
        <f t="array" aca="1" ref="D5:J5" ca="1">DaysAndWeeks+DATE(CalendarYear,4,1)-WEEKDAY(DATE(CalendarYear,4,1),(WeekStart="Mon")+1)+8</f>
        <v>46118</v>
      </c>
      <c r="E5" s="26">
        <f ca="1"/>
        <v>46119</v>
      </c>
      <c r="F5" s="26">
        <f ca="1"/>
        <v>46120</v>
      </c>
      <c r="G5" s="26">
        <f ca="1"/>
        <v>46121</v>
      </c>
      <c r="H5" s="26">
        <f ca="1"/>
        <v>46122</v>
      </c>
      <c r="I5" s="26">
        <f ca="1"/>
        <v>46123</v>
      </c>
      <c r="J5" s="26">
        <f ca="1"/>
        <v>46124</v>
      </c>
      <c r="K5" s="19"/>
    </row>
    <row r="6" spans="1:11" ht="83.1" customHeight="1" thickBot="1">
      <c r="A6" s="311" t="s">
        <v>573</v>
      </c>
      <c r="B6" s="311"/>
      <c r="C6" s="19"/>
      <c r="D6" s="213" t="str" cm="1">
        <f t="array" aca="1" ref="D6" ca="1">IFERROR(
  _xlfn.TEXTJOIN(CHAR(10), TRUE,
    _xlfn.LET(
      _xlpm.stores,
      _xlfn._xlws.FILTER('[2] CVM'!$E$3:$E$515, INT('[2] CVM'!$O$3:$O$515)=INT(D$5)),
      TEXT(_xlfn.SEQUENCE(ROWS(_xlpm.stores)),"0.") &amp; " " &amp; _xlpm.stores
    )
  ),
"")</f>
        <v/>
      </c>
      <c r="E6" s="93" t="str" cm="1">
        <f t="array" aca="1" ref="E6" ca="1">IFERROR(
  _xlfn.TEXTJOIN(CHAR(10), TRUE,
    _xlfn.LET(
      _xlpm.stores,
      _xlfn._xlws.FILTER(' CVM'!$E$4:$E$62, INT(' CVM'!$Q$4:$Q$62)=INT(E$5)),
      TEXT(_xlfn.SEQUENCE(ROWS(_xlpm.stores)),"0.") &amp; " " &amp; _xlpm.stores
    )
  ),
"")</f>
        <v/>
      </c>
      <c r="F6" s="93" t="str" cm="1">
        <f t="array" aca="1" ref="F6" ca="1">IFERROR(
  _xlfn.TEXTJOIN(CHAR(10), TRUE,
    _xlfn.LET(
      _xlpm.stores,
      _xlfn._xlws.FILTER(' CVM'!$E$4:$E$62, INT(' CVM'!$Q$4:$Q$62)=INT(F$5)),
      TEXT(_xlfn.SEQUENCE(ROWS(_xlpm.stores)),"0.") &amp; " " &amp; _xlpm.stores
    )
  ),
"")</f>
        <v/>
      </c>
      <c r="G6" s="93" t="str" cm="1">
        <f t="array" aca="1" ref="G6" ca="1">IFERROR(
  _xlfn.TEXTJOIN(CHAR(10), TRUE,
    _xlfn.LET(
      _xlpm.stores,
      _xlfn._xlws.FILTER(' CVM'!$E$4:$E$62, INT(' CVM'!$Q$4:$Q$62)=INT(G$5)),
      TEXT(_xlfn.SEQUENCE(ROWS(_xlpm.stores)),"0.") &amp; " " &amp; _xlpm.stores
    )
  ),
"")</f>
        <v/>
      </c>
      <c r="H6" s="93" t="str" cm="1">
        <f t="array" aca="1" ref="H6" ca="1">IFERROR(
  _xlfn.TEXTJOIN(CHAR(10), TRUE,
    _xlfn.LET(
      _xlpm.stores,
      _xlfn._xlws.FILTER(' CVM'!$E$4:$E$62, INT(' CVM'!$Q$4:$Q$62)=INT(H$5)),
      TEXT(_xlfn.SEQUENCE(ROWS(_xlpm.stores)),"0.") &amp; " " &amp; _xlpm.stores
    )
  ),
"")</f>
        <v/>
      </c>
      <c r="I6" s="93" t="str" cm="1">
        <f t="array" aca="1" ref="I6" ca="1">IFERROR(
  _xlfn.TEXTJOIN(CHAR(10), TRUE,
    _xlfn.LET(
      _xlpm.stores,
      _xlfn._xlws.FILTER(' CVM'!$E$4:$E$62, INT(' CVM'!$Q$4:$Q$62)=INT(I$5)),
      TEXT(_xlfn.SEQUENCE(ROWS(_xlpm.stores)),"0.") &amp; " " &amp; _xlpm.stores
    )
  ),
"")</f>
        <v/>
      </c>
      <c r="J6" s="93" t="str" cm="1">
        <f t="array" aca="1" ref="J6" ca="1">IFERROR(
  _xlfn.TEXTJOIN(CHAR(10), TRUE,
    _xlfn.LET(
      _xlpm.stores,
      _xlfn._xlws.FILTER(' CVM'!$E$4:$E$62, INT(' CVM'!$Q$4:$Q$62)=INT(J$5)),
      TEXT(_xlfn.SEQUENCE(ROWS(_xlpm.stores)),"0.") &amp; " " &amp; _xlpm.stores
    )
  ),
"")</f>
        <v/>
      </c>
      <c r="K6" s="19"/>
    </row>
    <row r="7" spans="1:11" ht="20.45" customHeight="1" thickBot="1">
      <c r="A7" s="177" t="s">
        <v>494</v>
      </c>
      <c r="B7" s="153"/>
      <c r="C7" s="19"/>
      <c r="D7" s="26">
        <f t="array" aca="1" ref="D7:J7" ca="1">DaysAndWeeks+DATE(CalendarYear,4,1)-WEEKDAY(DATE(CalendarYear,4,1),(WeekStart="Mon")+1)+15</f>
        <v>46125</v>
      </c>
      <c r="E7" s="26">
        <f ca="1"/>
        <v>46126</v>
      </c>
      <c r="F7" s="26">
        <f ca="1"/>
        <v>46127</v>
      </c>
      <c r="G7" s="26">
        <f ca="1"/>
        <v>46128</v>
      </c>
      <c r="H7" s="26">
        <f ca="1"/>
        <v>46129</v>
      </c>
      <c r="I7" s="26">
        <f ca="1"/>
        <v>46130</v>
      </c>
      <c r="J7" s="26">
        <f ca="1"/>
        <v>46131</v>
      </c>
      <c r="K7" s="19"/>
    </row>
    <row r="8" spans="1:11" ht="83.1" customHeight="1" thickBot="1">
      <c r="A8" s="305"/>
      <c r="B8" s="306"/>
      <c r="C8" s="19"/>
      <c r="D8" s="93" t="str" cm="1">
        <f t="array" aca="1" ref="D8" ca="1">IFERROR(
  _xlfn.TEXTJOIN(CHAR(10), TRUE,
    _xlfn.LET(
      _xlpm.stores,
      _xlfn._xlws.FILTER(' CVM'!$E$4:$E$62, INT(' CVM'!$Q$4:$Q$62)=INT(D$7)),
      TEXT(_xlfn.SEQUENCE(ROWS(_xlpm.stores)),"0.") &amp; " " &amp; _xlpm.stores
    )
  ),
"")</f>
        <v/>
      </c>
      <c r="E8" s="93" t="str" cm="1">
        <f t="array" aca="1" ref="E8" ca="1">IFERROR(
  _xlfn.TEXTJOIN(CHAR(10), TRUE,
    _xlfn.LET(
      _xlpm.stores,
      _xlfn._xlws.FILTER(' CVM'!$E$4:$E$62, INT(' CVM'!$Q$4:$Q$62)=INT(E$7)),
      TEXT(_xlfn.SEQUENCE(ROWS(_xlpm.stores)),"0.") &amp; " " &amp; _xlpm.stores
    )
  ),
"")</f>
        <v/>
      </c>
      <c r="F8" s="93" t="str" cm="1">
        <f t="array" aca="1" ref="F8" ca="1">IFERROR(
  _xlfn.TEXTJOIN(CHAR(10), TRUE,
    _xlfn.LET(
      _xlpm.stores,
      _xlfn._xlws.FILTER(' CVM'!$E$4:$E$62, INT(' CVM'!$Q$4:$Q$62)=INT(F$7)),
      TEXT(_xlfn.SEQUENCE(ROWS(_xlpm.stores)),"0.") &amp; " " &amp; _xlpm.stores
    )
  ),
"")</f>
        <v/>
      </c>
      <c r="G8" s="93" t="str" cm="1">
        <f t="array" aca="1" ref="G8" ca="1">IFERROR(
  _xlfn.TEXTJOIN(CHAR(10), TRUE,
    _xlfn.LET(
      _xlpm.stores,
      _xlfn._xlws.FILTER(' CVM'!$E$4:$E$62, INT(' CVM'!$Q$4:$Q$62)=INT(G$7)),
      TEXT(_xlfn.SEQUENCE(ROWS(_xlpm.stores)),"0.") &amp; " " &amp; _xlpm.stores
    )
  ),
"")</f>
        <v/>
      </c>
      <c r="H8" s="93" t="str" cm="1">
        <f t="array" aca="1" ref="H8" ca="1">IFERROR(
  _xlfn.TEXTJOIN(CHAR(10), TRUE,
    _xlfn.LET(
      _xlpm.stores,
      _xlfn._xlws.FILTER(' CVM'!$E$4:$E$62, INT(' CVM'!$Q$4:$Q$62)=INT(H$7)),
      TEXT(_xlfn.SEQUENCE(ROWS(_xlpm.stores)),"0.") &amp; " " &amp; _xlpm.stores
    )
  ),
"")</f>
        <v/>
      </c>
      <c r="I8" s="93" t="str" cm="1">
        <f t="array" aca="1" ref="I8" ca="1">IFERROR(
  _xlfn.TEXTJOIN(CHAR(10), TRUE,
    _xlfn.LET(
      _xlpm.stores,
      _xlfn._xlws.FILTER(' CVM'!$E$4:$E$62, INT(' CVM'!$Q$4:$Q$62)=INT(I$7)),
      TEXT(_xlfn.SEQUENCE(ROWS(_xlpm.stores)),"0.") &amp; " " &amp; _xlpm.stores
    )
  ),
"")</f>
        <v/>
      </c>
      <c r="J8" s="93" t="str" cm="1">
        <f t="array" aca="1" ref="J8" ca="1">IFERROR(
  _xlfn.TEXTJOIN(CHAR(10), TRUE,
    _xlfn.LET(
      _xlpm.stores,
      _xlfn._xlws.FILTER(' CVM'!$E$4:$E$62, INT(' CVM'!$Q$4:$Q$62)=INT(J$7)),
      TEXT(_xlfn.SEQUENCE(ROWS(_xlpm.stores)),"0.") &amp; " " &amp; _xlpm.stores
    )
  ),
"")</f>
        <v/>
      </c>
      <c r="K8" s="19"/>
    </row>
    <row r="9" spans="1:11" ht="20.45" customHeight="1">
      <c r="A9" s="307"/>
      <c r="B9" s="308"/>
      <c r="C9" s="19"/>
      <c r="D9" s="26">
        <f t="array" aca="1" ref="D9:J9" ca="1">DaysAndWeeks+DATE(CalendarYear,4,1)-WEEKDAY(DATE(CalendarYear,4,1),(WeekStart="Mon")+1)+22</f>
        <v>46132</v>
      </c>
      <c r="E9" s="26">
        <f ca="1"/>
        <v>46133</v>
      </c>
      <c r="F9" s="26">
        <f ca="1"/>
        <v>46134</v>
      </c>
      <c r="G9" s="26">
        <f ca="1"/>
        <v>46135</v>
      </c>
      <c r="H9" s="26">
        <f ca="1"/>
        <v>46136</v>
      </c>
      <c r="I9" s="26">
        <f ca="1"/>
        <v>46137</v>
      </c>
      <c r="J9" s="26">
        <f ca="1"/>
        <v>46138</v>
      </c>
      <c r="K9" s="19"/>
    </row>
    <row r="10" spans="1:11" ht="83.1" customHeight="1" thickBot="1">
      <c r="A10" s="307"/>
      <c r="B10" s="308"/>
      <c r="C10" s="19"/>
      <c r="D10" s="93" t="str" cm="1">
        <f t="array" aca="1" ref="D10" ca="1">IFERROR(
  _xlfn.TEXTJOIN(CHAR(10), TRUE,
    _xlfn.LET(
      _xlpm.stores,
      _xlfn._xlws.FILTER(' CVM'!$E$4:$E$62, INT(' CVM'!$Q$4:$Q$62)=INT(D$9)),
      TEXT(_xlfn.SEQUENCE(ROWS(_xlpm.stores)),"0.") &amp; " " &amp; _xlpm.stores
    )
  ),
"")</f>
        <v/>
      </c>
      <c r="E10" s="93" t="str" cm="1">
        <f t="array" aca="1" ref="E10" ca="1">IFERROR(
  _xlfn.TEXTJOIN(CHAR(10), TRUE,
    _xlfn.LET(
      _xlpm.stores,
      _xlfn._xlws.FILTER(' CVM'!$E$4:$E$62, INT(' CVM'!$Q$4:$Q$62)=INT(E$9)),
      TEXT(_xlfn.SEQUENCE(ROWS(_xlpm.stores)),"0.") &amp; " " &amp; _xlpm.stores
    )
  ),
"")</f>
        <v/>
      </c>
      <c r="F10" s="93" t="str" cm="1">
        <f t="array" aca="1" ref="F10" ca="1">IFERROR(
  _xlfn.TEXTJOIN(CHAR(10), TRUE,
    _xlfn.LET(
      _xlpm.stores,
      _xlfn._xlws.FILTER(' CVM'!$E$4:$E$62, INT(' CVM'!$Q$4:$Q$62)=INT(F$9)),
      TEXT(_xlfn.SEQUENCE(ROWS(_xlpm.stores)),"0.") &amp; " " &amp; _xlpm.stores
    )
  ),
"")</f>
        <v/>
      </c>
      <c r="G10" s="93" t="str" cm="1">
        <f t="array" aca="1" ref="G10" ca="1">IFERROR(
  _xlfn.TEXTJOIN(CHAR(10), TRUE,
    _xlfn.LET(
      _xlpm.stores,
      _xlfn._xlws.FILTER(' CVM'!$E$4:$E$62, INT(' CVM'!$Q$4:$Q$62)=INT(G$9)),
      TEXT(_xlfn.SEQUENCE(ROWS(_xlpm.stores)),"0.") &amp; " " &amp; _xlpm.stores
    )
  ),
"")</f>
        <v/>
      </c>
      <c r="H10" s="93" t="str" cm="1">
        <f t="array" aca="1" ref="H10" ca="1">IFERROR(
  _xlfn.TEXTJOIN(CHAR(10), TRUE,
    _xlfn.LET(
      _xlpm.stores,
      _xlfn._xlws.FILTER(' CVM'!$E$4:$E$62, INT(' CVM'!$Q$4:$Q$62)=INT(H$9)),
      TEXT(_xlfn.SEQUENCE(ROWS(_xlpm.stores)),"0.") &amp; " " &amp; _xlpm.stores
    )
  ),
"")</f>
        <v/>
      </c>
      <c r="I10" s="93" t="str" cm="1">
        <f t="array" aca="1" ref="I10" ca="1">IFERROR(
  _xlfn.TEXTJOIN(CHAR(10), TRUE,
    _xlfn.LET(
      _xlpm.stores,
      _xlfn._xlws.FILTER(' CVM'!$E$4:$E$62, INT(' CVM'!$Q$4:$Q$62)=INT(I$9)),
      TEXT(_xlfn.SEQUENCE(ROWS(_xlpm.stores)),"0.") &amp; " " &amp; _xlpm.stores
    )
  ),
"")</f>
        <v/>
      </c>
      <c r="J10" s="93" t="str" cm="1">
        <f t="array" aca="1" ref="J10" ca="1">IFERROR(
  _xlfn.TEXTJOIN(CHAR(10), TRUE,
    _xlfn.LET(
      _xlpm.stores,
      _xlfn._xlws.FILTER(' CVM'!$E$4:$E$62, INT(' CVM'!$Q$4:$Q$62)=INT(J$9)),
      TEXT(_xlfn.SEQUENCE(ROWS(_xlpm.stores)),"0.") &amp; " " &amp; _xlpm.stores
    )
  ),
"")</f>
        <v/>
      </c>
      <c r="K10" s="19"/>
    </row>
    <row r="11" spans="1:11" ht="20.45" customHeight="1">
      <c r="A11" s="307"/>
      <c r="B11" s="308"/>
      <c r="C11" s="19"/>
      <c r="D11" s="26">
        <f t="array" aca="1" ref="D11:J11" ca="1">DaysAndWeeks+DATE(CalendarYear,4,1)-WEEKDAY(DATE(CalendarYear,4,1),(WeekStart="Mon")+1)+29</f>
        <v>46139</v>
      </c>
      <c r="E11" s="26">
        <f ca="1"/>
        <v>46140</v>
      </c>
      <c r="F11" s="26">
        <f ca="1"/>
        <v>46141</v>
      </c>
      <c r="G11" s="26">
        <f ca="1"/>
        <v>46142</v>
      </c>
      <c r="H11" s="26">
        <f ca="1"/>
        <v>46143</v>
      </c>
      <c r="I11" s="26">
        <f ca="1"/>
        <v>46144</v>
      </c>
      <c r="J11" s="26">
        <f ca="1"/>
        <v>46145</v>
      </c>
      <c r="K11" s="19"/>
    </row>
    <row r="12" spans="1:11" ht="83.1" customHeight="1" thickBot="1">
      <c r="A12" s="307"/>
      <c r="B12" s="308"/>
      <c r="C12" s="19"/>
      <c r="D12" s="93" t="str" cm="1">
        <f t="array" aca="1" ref="D12" ca="1">IFERROR(
  _xlfn.TEXTJOIN(CHAR(10), TRUE,
    _xlfn.LET(
      _xlpm.stores,
      _xlfn._xlws.FILTER(' CVM'!$E$4:$E$62, INT(' CVM'!$Q$4:$Q$62)=INT(D$11)),
      TEXT(_xlfn.SEQUENCE(ROWS(_xlpm.stores)),"0.") &amp; " " &amp; _xlpm.stores
    )
  ),
"")</f>
        <v/>
      </c>
      <c r="E12" s="93" t="str" cm="1">
        <f t="array" aca="1" ref="E12" ca="1">IFERROR(
  _xlfn.TEXTJOIN(CHAR(10), TRUE,
    _xlfn.LET(
      _xlpm.stores,
      _xlfn._xlws.FILTER(' CVM'!$E$4:$E$62, INT(' CVM'!$Q$4:$Q$62)=INT(E$11)),
      TEXT(_xlfn.SEQUENCE(ROWS(_xlpm.stores)),"0.") &amp; " " &amp; _xlpm.stores
    )
  ),
"")</f>
        <v/>
      </c>
      <c r="F12" s="93" t="str" cm="1">
        <f t="array" aca="1" ref="F12" ca="1">IFERROR(
  _xlfn.TEXTJOIN(CHAR(10), TRUE,
    _xlfn.LET(
      _xlpm.stores,
      _xlfn._xlws.FILTER(' CVM'!$E$4:$E$62, INT(' CVM'!$Q$4:$Q$62)=INT(F$11)),
      TEXT(_xlfn.SEQUENCE(ROWS(_xlpm.stores)),"0.") &amp; " " &amp; _xlpm.stores
    )
  ),
"")</f>
        <v/>
      </c>
      <c r="G12" s="93" t="str" cm="1">
        <f t="array" aca="1" ref="G12" ca="1">IFERROR(
  _xlfn.TEXTJOIN(CHAR(10), TRUE,
    _xlfn.LET(
      _xlpm.stores,
      _xlfn._xlws.FILTER(' CVM'!$E$4:$E$62, INT(' CVM'!$Q$4:$Q$62)=INT(G$11)),
      TEXT(_xlfn.SEQUENCE(ROWS(_xlpm.stores)),"0.") &amp; " " &amp; _xlpm.stores
    )
  ),
"")</f>
        <v/>
      </c>
      <c r="H12" s="25"/>
      <c r="I12" s="25"/>
      <c r="J12" s="25"/>
      <c r="K12" s="19"/>
    </row>
    <row r="13" spans="1:11" ht="20.45" customHeight="1" thickBot="1">
      <c r="A13" s="309"/>
      <c r="B13" s="310"/>
      <c r="C13" s="19"/>
      <c r="D13" s="26">
        <f t="array" aca="1" ref="D13:J13" ca="1">DaysAndWeeks+DATE(CalendarYear,4,1)-WEEKDAY(DATE(CalendarYear,4,1),(WeekStart="Mon")+1)+36</f>
        <v>46146</v>
      </c>
      <c r="E13" s="26">
        <f ca="1"/>
        <v>46147</v>
      </c>
      <c r="F13" s="26">
        <f ca="1"/>
        <v>46148</v>
      </c>
      <c r="G13" s="26">
        <f ca="1"/>
        <v>46149</v>
      </c>
      <c r="H13" s="26">
        <f ca="1"/>
        <v>46150</v>
      </c>
      <c r="I13" s="26">
        <f ca="1"/>
        <v>46151</v>
      </c>
      <c r="J13" s="26">
        <f ca="1"/>
        <v>46152</v>
      </c>
      <c r="K13" s="19"/>
    </row>
    <row r="14" spans="1:11" ht="83.1" customHeight="1" thickBot="1">
      <c r="A14" s="18"/>
      <c r="B14" s="154" t="s">
        <v>574</v>
      </c>
      <c r="C14" s="19"/>
      <c r="D14" s="25"/>
      <c r="E14" s="25"/>
      <c r="F14" s="25"/>
      <c r="G14" s="25"/>
      <c r="H14" s="25"/>
      <c r="I14" s="25"/>
      <c r="J14" s="25"/>
      <c r="K14" s="19"/>
    </row>
    <row r="15" spans="1:11" ht="22.5" customHeight="1">
      <c r="A15" s="17"/>
      <c r="B15" s="155" t="s">
        <v>575</v>
      </c>
      <c r="C15" s="19"/>
      <c r="D15" s="19"/>
      <c r="E15" s="19"/>
      <c r="F15" s="19"/>
      <c r="G15" s="19"/>
      <c r="H15" s="19"/>
      <c r="I15" s="19"/>
      <c r="J15" s="19"/>
      <c r="K15" s="19"/>
    </row>
    <row r="16" spans="1:11" ht="15" customHeight="1">
      <c r="A16" s="17"/>
      <c r="B16" s="156"/>
      <c r="C16" s="23"/>
      <c r="D16" s="23"/>
      <c r="E16" s="23"/>
      <c r="F16" s="23"/>
      <c r="G16" s="23"/>
      <c r="H16" s="23"/>
      <c r="I16" s="23"/>
      <c r="J16" s="23"/>
      <c r="K16" s="23"/>
    </row>
    <row r="17" ht="49.5" customHeight="1"/>
    <row r="19" ht="17.850000000000001" customHeight="1"/>
  </sheetData>
  <sheetProtection selectLockedCells="1" sort="0" autoFilter="0"/>
  <mergeCells count="2">
    <mergeCell ref="A8:B13"/>
    <mergeCell ref="A6:B6"/>
  </mergeCells>
  <conditionalFormatting sqref="D3:J3">
    <cfRule type="expression" dxfId="93" priority="15">
      <formula>DAY(D3)&gt;8</formula>
    </cfRule>
  </conditionalFormatting>
  <conditionalFormatting sqref="D4:G4 I4:J4">
    <cfRule type="expression" dxfId="92" priority="16">
      <formula>DAY(D3)&gt;8</formula>
    </cfRule>
  </conditionalFormatting>
  <conditionalFormatting sqref="D11:J11 D13:J14 H12:J12">
    <cfRule type="expression" dxfId="91" priority="13">
      <formula>AND(DAY(D11)&gt;=1,DAY(D11)&lt;=15)</formula>
    </cfRule>
  </conditionalFormatting>
  <conditionalFormatting sqref="D13:J14 H12:J12">
    <cfRule type="expression" dxfId="90" priority="14">
      <formula>AND(DAY(D11)&gt;=1,DAY(D11)&lt;=15)</formula>
    </cfRule>
  </conditionalFormatting>
  <conditionalFormatting sqref="F4:G4 I4:J4">
    <cfRule type="notContainsBlanks" dxfId="89" priority="12">
      <formula>LEN(TRIM(F4))&gt;0</formula>
    </cfRule>
  </conditionalFormatting>
  <conditionalFormatting sqref="E6:J6">
    <cfRule type="notContainsBlanks" dxfId="88" priority="10">
      <formula>LEN(TRIM(E6))&gt;0</formula>
    </cfRule>
  </conditionalFormatting>
  <conditionalFormatting sqref="D8:J8">
    <cfRule type="notContainsBlanks" dxfId="87" priority="3">
      <formula>LEN(TRIM(D8))&gt;0</formula>
    </cfRule>
  </conditionalFormatting>
  <conditionalFormatting sqref="D10:J10">
    <cfRule type="notContainsBlanks" dxfId="86" priority="2">
      <formula>LEN(TRIM(D10))&gt;0</formula>
    </cfRule>
  </conditionalFormatting>
  <conditionalFormatting sqref="D12:G12">
    <cfRule type="notContainsBlanks" dxfId="85" priority="1">
      <formula>LEN(TRIM(D12))&gt;0</formula>
    </cfRule>
  </conditionalFormatting>
  <dataValidations count="9">
    <dataValidation allowBlank="1" showInputMessage="1" prompt="Automatically determined weekday" sqref="E2:J2" xr:uid="{265FBB83-8B0B-4043-9C87-7C4CFAC5F265}"/>
    <dataValidation allowBlank="1" showInputMessage="1" prompt="Automatically determined starting day of the week. To change weekdays, select a new starting day of the week in Q4 of 'JANUARY' worksheet" sqref="D2" xr:uid="{17FFED49-187D-4FB6-B022-43618B28AA2E}"/>
    <dataValidation allowBlank="1" showInputMessage="1" prompt="Calendar year, automatically determined by the year set in P4 of the January worksheet" sqref="B5" xr:uid="{4C19E028-937F-4C94-9775-E2124D3646B3}"/>
    <dataValidation allowBlank="1" showInputMessage="1" prompt="Navigation link to the previous month" sqref="B14" xr:uid="{5E10CF18-7948-42E4-952D-3359ED03773D}"/>
    <dataValidation allowBlank="1" showInputMessage="1" showErrorMessage="1" prompt="April month calendar" sqref="A1" xr:uid="{D929C03A-1D2B-4712-AEDA-BFBC8CE1DB14}"/>
    <dataValidation allowBlank="1" showInputMessage="1" showErrorMessage="1" prompt="Navigation link to the next month" sqref="B15" xr:uid="{97292502-D245-412B-92D5-8018EA6EE5FC}"/>
    <dataValidation allowBlank="1" showInputMessage="1" prompt="Enter daily notes in rows 4, 6, 8, 10, 12, and 14, columns D through J" sqref="D4" xr:uid="{67DD8ADC-1F72-4A24-8F44-4C3764E31F7A}"/>
    <dataValidation allowBlank="1" showInputMessage="1" showErrorMessage="1" prompt="Month for this worksheet is in this cell. Calendar is in the right contains dates from previous, current, and next month." sqref="A6" xr:uid="{A1BAEA52-41B3-45FC-9B88-FB16E6A2E4B2}"/>
    <dataValidation allowBlank="1" showInputMessage="1" prompt="Rows 3, 5, 7, 9, 11, and 13 contain dates of the month, including the previous and next month, if applicable" sqref="D3" xr:uid="{A4DFDE29-440F-4400-8DC6-9355D8914D88}"/>
  </dataValidations>
  <hyperlinks>
    <hyperlink ref="B14" location="MARCH!A1" tooltip="Navigation link to the next month" display=" &lt; MARCH" xr:uid="{CE601654-BD5E-48FF-AD6A-C20207B7411C}"/>
    <hyperlink ref="B15" location="MAY!A1" display="&gt; MAY" xr:uid="{F396F51D-98E7-4369-ABCA-28746D391000}"/>
  </hyperlinks>
  <printOptions horizontalCentered="1" verticalCentered="1"/>
  <pageMargins left="0.25" right="0.25" top="0.75" bottom="0.75" header="0.3" footer="0.3"/>
  <pageSetup scale="77" orientation="landscape" horizontalDpi="4294967293" verticalDpi="200" r:id="rId1"/>
  <ignoredErrors>
    <ignoredError sqref="B2:B3" unlocked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5F097-DC4D-472D-AE21-FF51693F2B22}">
  <sheetPr codeName="Sheet6">
    <tabColor theme="8" tint="0.79998168889431442"/>
    <pageSetUpPr fitToPage="1"/>
  </sheetPr>
  <dimension ref="A1:K19"/>
  <sheetViews>
    <sheetView showGridLines="0" zoomScaleNormal="100" workbookViewId="0">
      <selection activeCell="B2" sqref="B2"/>
    </sheetView>
  </sheetViews>
  <sheetFormatPr defaultRowHeight="14.45"/>
  <cols>
    <col min="1" max="1" width="13.88671875" bestFit="1" customWidth="1"/>
    <col min="2" max="2" width="39.33203125" style="117" customWidth="1"/>
    <col min="3" max="3" width="4.88671875" customWidth="1"/>
    <col min="4" max="10" width="22" customWidth="1"/>
    <col min="11" max="11" width="4.44140625" customWidth="1"/>
  </cols>
  <sheetData>
    <row r="1" spans="1:11" ht="38.1" customHeight="1">
      <c r="A1" s="27"/>
      <c r="B1" s="157"/>
      <c r="C1" s="28"/>
      <c r="D1" s="29"/>
      <c r="E1" s="30"/>
      <c r="F1" s="30"/>
      <c r="G1" s="30"/>
      <c r="H1" s="31"/>
      <c r="I1" s="28"/>
      <c r="J1" s="28"/>
      <c r="K1" s="28"/>
    </row>
    <row r="2" spans="1:11" ht="25.35" customHeight="1" thickBot="1">
      <c r="A2" s="27" t="s">
        <v>552</v>
      </c>
      <c r="B2" s="27">
        <f>COUNTA(' CVM'!S4:S62)</f>
        <v>0</v>
      </c>
      <c r="C2" s="28"/>
      <c r="D2" s="32" t="str">
        <f t="shared" ref="D2:J2" ca="1" si="0">TEXT(D3,"ddd")</f>
        <v>Mon</v>
      </c>
      <c r="E2" s="32" t="str">
        <f t="shared" ca="1" si="0"/>
        <v>Tue</v>
      </c>
      <c r="F2" s="32" t="str">
        <f t="shared" ca="1" si="0"/>
        <v>Wed</v>
      </c>
      <c r="G2" s="32" t="str">
        <f t="shared" ca="1" si="0"/>
        <v>Thu</v>
      </c>
      <c r="H2" s="32" t="str">
        <f t="shared" ca="1" si="0"/>
        <v>Fri</v>
      </c>
      <c r="I2" s="32" t="str">
        <f t="shared" ca="1" si="0"/>
        <v>Sat</v>
      </c>
      <c r="J2" s="32" t="str">
        <f t="shared" ca="1" si="0"/>
        <v>Sun</v>
      </c>
      <c r="K2" s="28"/>
    </row>
    <row r="3" spans="1:11" ht="20.45" customHeight="1">
      <c r="A3" s="27" t="s">
        <v>553</v>
      </c>
      <c r="B3" s="27">
        <f>COUNTIF(' CVM'!T4:T62, TRUE)</f>
        <v>0</v>
      </c>
      <c r="C3" s="28"/>
      <c r="D3" s="36">
        <f t="array" aca="1" ref="D3:J3" ca="1">DaysAndWeeks+DATE(CalendarYear,5,1)-WEEKDAY(DATE(CalendarYear,5,1),(WeekStart="Mon")+1)+1</f>
        <v>46139</v>
      </c>
      <c r="E3" s="36">
        <f ca="1"/>
        <v>46140</v>
      </c>
      <c r="F3" s="36">
        <f ca="1"/>
        <v>46141</v>
      </c>
      <c r="G3" s="36">
        <f ca="1"/>
        <v>46142</v>
      </c>
      <c r="H3" s="36">
        <f ca="1"/>
        <v>46143</v>
      </c>
      <c r="I3" s="36">
        <f ca="1"/>
        <v>46144</v>
      </c>
      <c r="J3" s="36">
        <f ca="1"/>
        <v>46145</v>
      </c>
      <c r="K3" s="28"/>
    </row>
    <row r="4" spans="1:11" ht="83.1" customHeight="1" thickBot="1">
      <c r="A4" s="194" t="s">
        <v>557</v>
      </c>
      <c r="B4" s="158"/>
      <c r="C4" s="28"/>
      <c r="D4" s="35"/>
      <c r="E4" s="35"/>
      <c r="F4" s="35"/>
      <c r="G4" s="35"/>
      <c r="H4" s="91" t="str" cm="1">
        <f t="array" aca="1" ref="H4" ca="1">IFERROR(
  _xlfn.TEXTJOIN(CHAR(10), TRUE,
    _xlfn.LET(
      _xlpm.stores,
      _xlfn._xlws.FILTER(' CVM'!$E$4:$E$62, INT(' CVM'!$S$4:$S$62)=INT(H$3)),
      TEXT(_xlfn.SEQUENCE(ROWS(_xlpm.stores)),"0.") &amp; " " &amp; _xlpm.stores
    )
  ),
"")</f>
        <v/>
      </c>
      <c r="I4" s="91" t="str" cm="1">
        <f t="array" aca="1" ref="I4" ca="1">IFERROR(
  _xlfn.TEXTJOIN(CHAR(10), TRUE,
    _xlfn.LET(
      _xlpm.stores,
      _xlfn._xlws.FILTER(' CVM'!$E$4:$E$62, INT(' CVM'!$S$4:$S$62)=INT(I$3)),
      TEXT(_xlfn.SEQUENCE(ROWS(_xlpm.stores)),"0.") &amp; " " &amp; _xlpm.stores
    )
  ),
"")</f>
        <v/>
      </c>
      <c r="J4" s="91" t="str" cm="1">
        <f t="array" aca="1" ref="J4" ca="1">IFERROR(
  _xlfn.TEXTJOIN(CHAR(10), TRUE,
    _xlfn.LET(
      _xlpm.stores,
      _xlfn._xlws.FILTER(' CVM'!$E$4:$E$62, INT(' CVM'!$S$4:$S$62)=INT(J$3)),
      TEXT(_xlfn.SEQUENCE(ROWS(_xlpm.stores)),"0.") &amp; " " &amp; _xlpm.stores
    )
  ),
"")</f>
        <v/>
      </c>
      <c r="K4" s="28"/>
    </row>
    <row r="5" spans="1:11" ht="20.45" customHeight="1">
      <c r="A5" s="27" t="s">
        <v>559</v>
      </c>
      <c r="B5" s="27" t="s">
        <v>565</v>
      </c>
      <c r="C5" s="28"/>
      <c r="D5" s="36">
        <f t="array" aca="1" ref="D5:J5" ca="1">DaysAndWeeks+DATE(CalendarYear,5,1)-WEEKDAY(DATE(CalendarYear,5,1),(WeekStart="Mon")+1)+8</f>
        <v>46146</v>
      </c>
      <c r="E5" s="36">
        <f ca="1"/>
        <v>46147</v>
      </c>
      <c r="F5" s="36">
        <f ca="1"/>
        <v>46148</v>
      </c>
      <c r="G5" s="36">
        <f ca="1"/>
        <v>46149</v>
      </c>
      <c r="H5" s="36">
        <f ca="1"/>
        <v>46150</v>
      </c>
      <c r="I5" s="36">
        <f ca="1"/>
        <v>46151</v>
      </c>
      <c r="J5" s="36">
        <f ca="1"/>
        <v>46152</v>
      </c>
      <c r="K5" s="28"/>
    </row>
    <row r="6" spans="1:11" ht="83.1" customHeight="1" thickBot="1">
      <c r="A6" s="312" t="s">
        <v>576</v>
      </c>
      <c r="B6" s="312"/>
      <c r="C6" s="28"/>
      <c r="D6" s="91" t="str" cm="1">
        <f t="array" aca="1" ref="D6" ca="1">IFERROR(
  _xlfn.TEXTJOIN(CHAR(10), TRUE,
    _xlfn.LET(
      _xlpm.stores,
      _xlfn._xlws.FILTER(' CVM'!$E$4:$E$62, INT(' CVM'!$S$4:$S$62)=INT(D$5)),
      TEXT(_xlfn.SEQUENCE(ROWS(_xlpm.stores)),"0.") &amp; " " &amp; _xlpm.stores
    )
  ),
"")</f>
        <v/>
      </c>
      <c r="E6" s="91" t="str" cm="1">
        <f t="array" aca="1" ref="E6" ca="1">IFERROR(
  _xlfn.TEXTJOIN(CHAR(10), TRUE,
    _xlfn.LET(
      _xlpm.stores,
      _xlfn._xlws.FILTER(' CVM'!$E$4:$E$62, INT(' CVM'!$S$4:$S$62)=INT(E$5)),
      TEXT(_xlfn.SEQUENCE(ROWS(_xlpm.stores)),"0.") &amp; " " &amp; _xlpm.stores
    )
  ),
"")</f>
        <v/>
      </c>
      <c r="F6" s="91" t="str" cm="1">
        <f t="array" aca="1" ref="F6" ca="1">IFERROR(
  _xlfn.TEXTJOIN(CHAR(10), TRUE,
    _xlfn.LET(
      _xlpm.stores,
      _xlfn._xlws.FILTER(' CVM'!$E$4:$E$62, INT(' CVM'!$S$4:$S$62)=INT(F$5)),
      TEXT(_xlfn.SEQUENCE(ROWS(_xlpm.stores)),"0.") &amp; " " &amp; _xlpm.stores
    )
  ),
"")</f>
        <v/>
      </c>
      <c r="G6" s="91" t="str" cm="1">
        <f t="array" aca="1" ref="G6" ca="1">IFERROR(
  _xlfn.TEXTJOIN(CHAR(10), TRUE,
    _xlfn.LET(
      _xlpm.stores,
      _xlfn._xlws.FILTER(' CVM'!$E$4:$E$62, INT(' CVM'!$S$4:$S$62)=INT(G$5)),
      TEXT(_xlfn.SEQUENCE(ROWS(_xlpm.stores)),"0.") &amp; " " &amp; _xlpm.stores
    )
  ),
"")</f>
        <v/>
      </c>
      <c r="H6" s="91" t="str" cm="1">
        <f t="array" aca="1" ref="H6" ca="1">IFERROR(
  _xlfn.TEXTJOIN(CHAR(10), TRUE,
    _xlfn.LET(
      _xlpm.stores,
      _xlfn._xlws.FILTER(' CVM'!$E$4:$E$62, INT(' CVM'!$S$4:$S$62)=INT(H$5)),
      TEXT(_xlfn.SEQUENCE(ROWS(_xlpm.stores)),"0.") &amp; " " &amp; _xlpm.stores
    )
  ),
"")</f>
        <v/>
      </c>
      <c r="I6" s="91" t="str" cm="1">
        <f t="array" aca="1" ref="I6" ca="1">IFERROR(
  _xlfn.TEXTJOIN(CHAR(10), TRUE,
    _xlfn.LET(
      _xlpm.stores,
      _xlfn._xlws.FILTER(' CVM'!$E$4:$E$62, INT(' CVM'!$S$4:$S$62)=INT(I$5)),
      TEXT(_xlfn.SEQUENCE(ROWS(_xlpm.stores)),"0.") &amp; " " &amp; _xlpm.stores
    )
  ),
"")</f>
        <v/>
      </c>
      <c r="J6" s="91" t="str" cm="1">
        <f t="array" aca="1" ref="J6" ca="1">IFERROR(
  _xlfn.TEXTJOIN(CHAR(10), TRUE,
    _xlfn.LET(
      _xlpm.stores,
      _xlfn._xlws.FILTER(' CVM'!$E$4:$E$62, INT(' CVM'!$S$4:$S$62)=INT(J$5)),
      TEXT(_xlfn.SEQUENCE(ROWS(_xlpm.stores)),"0.") &amp; " " &amp; _xlpm.stores
    )
  ),
"")</f>
        <v/>
      </c>
      <c r="K6" s="28"/>
    </row>
    <row r="7" spans="1:11" ht="20.45" customHeight="1" thickBot="1">
      <c r="A7" s="313" t="s">
        <v>494</v>
      </c>
      <c r="B7" s="313"/>
      <c r="C7" s="28"/>
      <c r="D7" s="36">
        <f t="array" aca="1" ref="D7:J7" ca="1">DaysAndWeeks+DATE(CalendarYear,5,1)-WEEKDAY(DATE(CalendarYear,5,1),(WeekStart="Mon")+1)+15</f>
        <v>46153</v>
      </c>
      <c r="E7" s="36">
        <f ca="1"/>
        <v>46154</v>
      </c>
      <c r="F7" s="36">
        <f ca="1"/>
        <v>46155</v>
      </c>
      <c r="G7" s="36">
        <f ca="1"/>
        <v>46156</v>
      </c>
      <c r="H7" s="36">
        <f ca="1"/>
        <v>46157</v>
      </c>
      <c r="I7" s="36">
        <f ca="1"/>
        <v>46158</v>
      </c>
      <c r="J7" s="36">
        <f ca="1"/>
        <v>46159</v>
      </c>
      <c r="K7" s="28"/>
    </row>
    <row r="8" spans="1:11" ht="83.1" customHeight="1" thickBot="1">
      <c r="A8" s="314"/>
      <c r="B8" s="315"/>
      <c r="C8" s="28"/>
      <c r="D8" s="91" t="str" cm="1">
        <f t="array" aca="1" ref="D8" ca="1">IFERROR(
  _xlfn.TEXTJOIN(CHAR(10), TRUE,
    _xlfn.LET(
      _xlpm.stores,
      _xlfn._xlws.FILTER(' CVM'!$E$4:$E$62, INT(' CVM'!$S$4:$S$62)=INT(D$7)),
      TEXT(_xlfn.SEQUENCE(ROWS(_xlpm.stores)),"0.") &amp; " " &amp; _xlpm.stores
    )
  ),
"")</f>
        <v/>
      </c>
      <c r="E8" s="91" t="str" cm="1">
        <f t="array" aca="1" ref="E8" ca="1">IFERROR(
  _xlfn.TEXTJOIN(CHAR(10), TRUE,
    _xlfn.LET(
      _xlpm.stores,
      _xlfn._xlws.FILTER(' CVM'!$E$4:$E$62, INT(' CVM'!$S$4:$S$62)=INT(E$7)),
      TEXT(_xlfn.SEQUENCE(ROWS(_xlpm.stores)),"0.") &amp; " " &amp; _xlpm.stores
    )
  ),
"")</f>
        <v/>
      </c>
      <c r="F8" s="91" t="str" cm="1">
        <f t="array" aca="1" ref="F8" ca="1">IFERROR(
  _xlfn.TEXTJOIN(CHAR(10), TRUE,
    _xlfn.LET(
      _xlpm.stores,
      _xlfn._xlws.FILTER(' CVM'!$E$4:$E$62, INT(' CVM'!$S$4:$S$62)=INT(F$7)),
      TEXT(_xlfn.SEQUENCE(ROWS(_xlpm.stores)),"0.") &amp; " " &amp; _xlpm.stores
    )
  ),
"")</f>
        <v/>
      </c>
      <c r="G8" s="91" t="str" cm="1">
        <f t="array" aca="1" ref="G8" ca="1">IFERROR(
  _xlfn.TEXTJOIN(CHAR(10), TRUE,
    _xlfn.LET(
      _xlpm.stores,
      _xlfn._xlws.FILTER(' CVM'!$E$4:$E$62, INT(' CVM'!$S$4:$S$62)=INT(G$7)),
      TEXT(_xlfn.SEQUENCE(ROWS(_xlpm.stores)),"0.") &amp; " " &amp; _xlpm.stores
    )
  ),
"")</f>
        <v/>
      </c>
      <c r="H8" s="91" t="str" cm="1">
        <f t="array" aca="1" ref="H8" ca="1">IFERROR(
  _xlfn.TEXTJOIN(CHAR(10), TRUE,
    _xlfn.LET(
      _xlpm.stores,
      _xlfn._xlws.FILTER(' CVM'!$E$4:$E$62, INT(' CVM'!$S$4:$S$62)=INT(H$7)),
      TEXT(_xlfn.SEQUENCE(ROWS(_xlpm.stores)),"0.") &amp; " " &amp; _xlpm.stores
    )
  ),
"")</f>
        <v/>
      </c>
      <c r="I8" s="91" t="str" cm="1">
        <f t="array" aca="1" ref="I8" ca="1">IFERROR(
  _xlfn.TEXTJOIN(CHAR(10), TRUE,
    _xlfn.LET(
      _xlpm.stores,
      _xlfn._xlws.FILTER(' CVM'!$E$4:$E$62, INT(' CVM'!$S$4:$S$62)=INT(I$7)),
      TEXT(_xlfn.SEQUENCE(ROWS(_xlpm.stores)),"0.") &amp; " " &amp; _xlpm.stores
    )
  ),
"")</f>
        <v/>
      </c>
      <c r="J8" s="91" t="str" cm="1">
        <f t="array" aca="1" ref="J8" ca="1">IFERROR(
  _xlfn.TEXTJOIN(CHAR(10), TRUE,
    _xlfn.LET(
      _xlpm.stores,
      _xlfn._xlws.FILTER(' CVM'!$E$4:$E$62, INT(' CVM'!$S$4:$S$62)=INT(J$7)),
      TEXT(_xlfn.SEQUENCE(ROWS(_xlpm.stores)),"0.") &amp; " " &amp; _xlpm.stores
    )
  ),
"")</f>
        <v/>
      </c>
      <c r="K8" s="28"/>
    </row>
    <row r="9" spans="1:11" ht="20.45" customHeight="1">
      <c r="A9" s="316"/>
      <c r="B9" s="317"/>
      <c r="C9" s="28"/>
      <c r="D9" s="36">
        <f t="array" aca="1" ref="D9:J9" ca="1">DaysAndWeeks+DATE(CalendarYear,5,1)-WEEKDAY(DATE(CalendarYear,5,1),(WeekStart="Mon")+1)+22</f>
        <v>46160</v>
      </c>
      <c r="E9" s="36">
        <f ca="1"/>
        <v>46161</v>
      </c>
      <c r="F9" s="36">
        <f ca="1"/>
        <v>46162</v>
      </c>
      <c r="G9" s="36">
        <f ca="1"/>
        <v>46163</v>
      </c>
      <c r="H9" s="36">
        <f ca="1"/>
        <v>46164</v>
      </c>
      <c r="I9" s="36">
        <f ca="1"/>
        <v>46165</v>
      </c>
      <c r="J9" s="36">
        <f ca="1"/>
        <v>46166</v>
      </c>
      <c r="K9" s="28"/>
    </row>
    <row r="10" spans="1:11" ht="83.1" customHeight="1" thickBot="1">
      <c r="A10" s="316"/>
      <c r="B10" s="317"/>
      <c r="C10" s="28"/>
      <c r="D10" s="91" t="str" cm="1">
        <f t="array" aca="1" ref="D10" ca="1">IFERROR(
  _xlfn.TEXTJOIN(CHAR(10), TRUE,
    _xlfn.LET(
      _xlpm.stores,
      _xlfn._xlws.FILTER(' CVM'!$E$4:$E$62, INT(' CVM'!$S$4:$S$62)=INT(D$9)),
      TEXT(_xlfn.SEQUENCE(ROWS(_xlpm.stores)),"0.") &amp; " " &amp; _xlpm.stores
    )
  ),
"")</f>
        <v/>
      </c>
      <c r="E10" s="91" t="str" cm="1">
        <f t="array" aca="1" ref="E10" ca="1">IFERROR(
  _xlfn.TEXTJOIN(CHAR(10), TRUE,
    _xlfn.LET(
      _xlpm.stores,
      _xlfn._xlws.FILTER(' CVM'!$E$4:$E$62, INT(' CVM'!$S$4:$S$62)=INT(E$9)),
      TEXT(_xlfn.SEQUENCE(ROWS(_xlpm.stores)),"0.") &amp; " " &amp; _xlpm.stores
    )
  ),
"")</f>
        <v/>
      </c>
      <c r="F10" s="91" t="str" cm="1">
        <f t="array" aca="1" ref="F10" ca="1">IFERROR(
  _xlfn.TEXTJOIN(CHAR(10), TRUE,
    _xlfn.LET(
      _xlpm.stores,
      _xlfn._xlws.FILTER(' CVM'!$E$4:$E$62, INT(' CVM'!$S$4:$S$62)=INT(F$9)),
      TEXT(_xlfn.SEQUENCE(ROWS(_xlpm.stores)),"0.") &amp; " " &amp; _xlpm.stores
    )
  ),
"")</f>
        <v/>
      </c>
      <c r="G10" s="91" t="str" cm="1">
        <f t="array" aca="1" ref="G10" ca="1">IFERROR(
  _xlfn.TEXTJOIN(CHAR(10), TRUE,
    _xlfn.LET(
      _xlpm.stores,
      _xlfn._xlws.FILTER(' CVM'!$E$4:$E$62, INT(' CVM'!$S$4:$S$62)=INT(G$9)),
      TEXT(_xlfn.SEQUENCE(ROWS(_xlpm.stores)),"0.") &amp; " " &amp; _xlpm.stores
    )
  ),
"")</f>
        <v/>
      </c>
      <c r="H10" s="91" t="str" cm="1">
        <f t="array" aca="1" ref="H10" ca="1">IFERROR(
  _xlfn.TEXTJOIN(CHAR(10), TRUE,
    _xlfn.LET(
      _xlpm.stores,
      _xlfn._xlws.FILTER(' CVM'!$E$4:$E$62, INT(' CVM'!$S$4:$S$62)=INT(H$9)),
      TEXT(_xlfn.SEQUENCE(ROWS(_xlpm.stores)),"0.") &amp; " " &amp; _xlpm.stores
    )
  ),
"")</f>
        <v/>
      </c>
      <c r="I10" s="91" t="str" cm="1">
        <f t="array" aca="1" ref="I10" ca="1">IFERROR(
  _xlfn.TEXTJOIN(CHAR(10), TRUE,
    _xlfn.LET(
      _xlpm.stores,
      _xlfn._xlws.FILTER(' CVM'!$E$4:$E$62, INT(' CVM'!$S$4:$S$62)=INT(I$9)),
      TEXT(_xlfn.SEQUENCE(ROWS(_xlpm.stores)),"0.") &amp; " " &amp; _xlpm.stores
    )
  ),
"")</f>
        <v/>
      </c>
      <c r="J10" s="91" t="str" cm="1">
        <f t="array" aca="1" ref="J10" ca="1">IFERROR(
  _xlfn.TEXTJOIN(CHAR(10), TRUE,
    _xlfn.LET(
      _xlpm.stores,
      _xlfn._xlws.FILTER(' CVM'!$E$4:$E$62, INT(' CVM'!$S$4:$S$62)=INT(J$9)),
      TEXT(_xlfn.SEQUENCE(ROWS(_xlpm.stores)),"0.") &amp; " " &amp; _xlpm.stores
    )
  ),
"")</f>
        <v/>
      </c>
      <c r="K10" s="28"/>
    </row>
    <row r="11" spans="1:11" ht="20.45" customHeight="1">
      <c r="A11" s="316"/>
      <c r="B11" s="317"/>
      <c r="C11" s="28"/>
      <c r="D11" s="36">
        <f t="array" aca="1" ref="D11:J11" ca="1">DaysAndWeeks+DATE(CalendarYear,5,1)-WEEKDAY(DATE(CalendarYear,5,1),(WeekStart="Mon")+1)+29</f>
        <v>46167</v>
      </c>
      <c r="E11" s="36">
        <f ca="1"/>
        <v>46168</v>
      </c>
      <c r="F11" s="36">
        <f ca="1"/>
        <v>46169</v>
      </c>
      <c r="G11" s="36">
        <f ca="1"/>
        <v>46170</v>
      </c>
      <c r="H11" s="36">
        <f ca="1"/>
        <v>46171</v>
      </c>
      <c r="I11" s="36">
        <f ca="1"/>
        <v>46172</v>
      </c>
      <c r="J11" s="36">
        <f ca="1"/>
        <v>46173</v>
      </c>
      <c r="K11" s="28"/>
    </row>
    <row r="12" spans="1:11" ht="83.1" customHeight="1" thickBot="1">
      <c r="A12" s="316"/>
      <c r="B12" s="317"/>
      <c r="C12" s="28"/>
      <c r="D12" s="91" t="str" cm="1">
        <f t="array" aca="1" ref="D12" ca="1">IFERROR(
  _xlfn.TEXTJOIN(CHAR(10), TRUE,
    _xlfn.LET(
      _xlpm.stores,
      _xlfn._xlws.FILTER(' CVM'!$E$4:$E$62, INT(' CVM'!$S$4:$S$62)=INT(D$11)),
      TEXT(_xlfn.SEQUENCE(ROWS(_xlpm.stores)),"0.") &amp; " " &amp; _xlpm.stores
    )
  ),
"")</f>
        <v/>
      </c>
      <c r="E12" s="91" t="str" cm="1">
        <f t="array" aca="1" ref="E12" ca="1">IFERROR(
  _xlfn.TEXTJOIN(CHAR(10), TRUE,
    _xlfn.LET(
      _xlpm.stores,
      _xlfn._xlws.FILTER(' CVM'!$E$4:$E$62, INT(' CVM'!$S$4:$S$62)=INT(E$11)),
      TEXT(_xlfn.SEQUENCE(ROWS(_xlpm.stores)),"0.") &amp; " " &amp; _xlpm.stores
    )
  ),
"")</f>
        <v/>
      </c>
      <c r="F12" s="91" t="str" cm="1">
        <f t="array" aca="1" ref="F12" ca="1">IFERROR(
  _xlfn.TEXTJOIN(CHAR(10), TRUE,
    _xlfn.LET(
      _xlpm.stores,
      _xlfn._xlws.FILTER(' CVM'!$E$4:$E$62, INT(' CVM'!$S$4:$S$62)=INT(F$11)),
      TEXT(_xlfn.SEQUENCE(ROWS(_xlpm.stores)),"0.") &amp; " " &amp; _xlpm.stores
    )
  ),
"")</f>
        <v/>
      </c>
      <c r="G12" s="91" t="str" cm="1">
        <f t="array" aca="1" ref="G12" ca="1">IFERROR(
  _xlfn.TEXTJOIN(CHAR(10), TRUE,
    _xlfn.LET(
      _xlpm.stores,
      _xlfn._xlws.FILTER(' CVM'!$E$4:$E$62, INT(' CVM'!$S$4:$S$62)=INT(G$11)),
      TEXT(_xlfn.SEQUENCE(ROWS(_xlpm.stores)),"0.") &amp; " " &amp; _xlpm.stores
    )
  ),
"")</f>
        <v/>
      </c>
      <c r="H12" s="91" t="str" cm="1">
        <f t="array" aca="1" ref="H12" ca="1">IFERROR(
  _xlfn.TEXTJOIN(CHAR(10), TRUE,
    _xlfn.LET(
      _xlpm.stores,
      _xlfn._xlws.FILTER(' CVM'!$E$4:$E$62, INT(' CVM'!$S$4:$S$62)=INT(H$11)),
      TEXT(_xlfn.SEQUENCE(ROWS(_xlpm.stores)),"0.") &amp; " " &amp; _xlpm.stores
    )
  ),
"")</f>
        <v/>
      </c>
      <c r="I12" s="91" t="str" cm="1">
        <f t="array" aca="1" ref="I12" ca="1">IFERROR(
  _xlfn.TEXTJOIN(CHAR(10), TRUE,
    _xlfn.LET(
      _xlpm.stores,
      _xlfn._xlws.FILTER(' CVM'!$E$4:$E$62, INT(' CVM'!$S$4:$S$62)=INT(I$11)),
      TEXT(_xlfn.SEQUENCE(ROWS(_xlpm.stores)),"0.") &amp; " " &amp; _xlpm.stores
    )
  ),
"")</f>
        <v/>
      </c>
      <c r="J12" s="91" t="str" cm="1">
        <f t="array" aca="1" ref="J12" ca="1">IFERROR(
  _xlfn.TEXTJOIN(CHAR(10), TRUE,
    _xlfn.LET(
      _xlpm.stores,
      _xlfn._xlws.FILTER(' CVM'!$E$4:$E$62, INT(' CVM'!$S$4:$S$62)=INT(J$11)),
      TEXT(_xlfn.SEQUENCE(ROWS(_xlpm.stores)),"0.") &amp; " " &amp; _xlpm.stores
    )
  ),
"")</f>
        <v/>
      </c>
      <c r="K12" s="28"/>
    </row>
    <row r="13" spans="1:11" ht="20.45" customHeight="1" thickBot="1">
      <c r="A13" s="318"/>
      <c r="B13" s="319"/>
      <c r="C13" s="28"/>
      <c r="D13" s="36">
        <f t="array" aca="1" ref="D13:J13" ca="1">DaysAndWeeks+DATE(CalendarYear,5,1)-WEEKDAY(DATE(CalendarYear,5,1),(WeekStart="Mon")+1)+36</f>
        <v>46174</v>
      </c>
      <c r="E13" s="36">
        <f ca="1"/>
        <v>46175</v>
      </c>
      <c r="F13" s="36">
        <f ca="1"/>
        <v>46176</v>
      </c>
      <c r="G13" s="36">
        <f ca="1"/>
        <v>46177</v>
      </c>
      <c r="H13" s="36">
        <f ca="1"/>
        <v>46178</v>
      </c>
      <c r="I13" s="36">
        <f ca="1"/>
        <v>46179</v>
      </c>
      <c r="J13" s="36">
        <f ca="1"/>
        <v>46180</v>
      </c>
      <c r="K13" s="28"/>
    </row>
    <row r="14" spans="1:11" ht="83.1" customHeight="1" thickBot="1">
      <c r="A14" s="34"/>
      <c r="B14" s="160" t="s">
        <v>577</v>
      </c>
      <c r="C14" s="28"/>
      <c r="D14" s="76"/>
      <c r="E14" s="76"/>
      <c r="F14" s="76"/>
      <c r="G14" s="76"/>
      <c r="H14" s="76"/>
      <c r="I14" s="76"/>
      <c r="J14" s="76"/>
      <c r="K14" s="28"/>
    </row>
    <row r="15" spans="1:11" ht="22.5" customHeight="1">
      <c r="A15" s="33"/>
      <c r="B15" s="161" t="s">
        <v>578</v>
      </c>
      <c r="C15" s="28"/>
      <c r="D15" s="28"/>
      <c r="E15" s="28"/>
      <c r="F15" s="28"/>
      <c r="G15" s="28"/>
      <c r="H15" s="28"/>
      <c r="I15" s="28"/>
      <c r="J15" s="28"/>
      <c r="K15" s="28"/>
    </row>
    <row r="16" spans="1:11" ht="15" customHeight="1">
      <c r="A16" s="33"/>
      <c r="B16" s="159"/>
      <c r="C16" s="28"/>
      <c r="D16" s="28"/>
      <c r="E16" s="28"/>
      <c r="F16" s="28"/>
      <c r="G16" s="28"/>
      <c r="H16" s="28"/>
      <c r="I16" s="28"/>
      <c r="J16" s="28"/>
      <c r="K16" s="28"/>
    </row>
    <row r="17" ht="49.5" customHeight="1"/>
    <row r="19" ht="17.850000000000001" customHeight="1"/>
  </sheetData>
  <sheetProtection selectLockedCells="1" sort="0" autoFilter="0"/>
  <mergeCells count="3">
    <mergeCell ref="A6:B6"/>
    <mergeCell ref="A7:B7"/>
    <mergeCell ref="A8:B13"/>
  </mergeCells>
  <conditionalFormatting sqref="D3:J3">
    <cfRule type="expression" dxfId="84" priority="32">
      <formula>DAY(D3)&gt;8</formula>
    </cfRule>
  </conditionalFormatting>
  <conditionalFormatting sqref="D4:J4">
    <cfRule type="expression" dxfId="83" priority="33">
      <formula>DAY(D3)&gt;8</formula>
    </cfRule>
  </conditionalFormatting>
  <conditionalFormatting sqref="D11:J11 D13:J14">
    <cfRule type="expression" dxfId="82" priority="30">
      <formula>AND(DAY(D11)&gt;=1,DAY(D11)&lt;=15)</formula>
    </cfRule>
  </conditionalFormatting>
  <conditionalFormatting sqref="D13:J14">
    <cfRule type="expression" dxfId="81" priority="31">
      <formula>AND(DAY(D12)&gt;=1,DAY(D12)&lt;=15)</formula>
    </cfRule>
  </conditionalFormatting>
  <conditionalFormatting sqref="H4:J4">
    <cfRule type="notContainsBlanks" dxfId="80" priority="29">
      <formula>LEN(TRIM(H4))&gt;0</formula>
    </cfRule>
  </conditionalFormatting>
  <conditionalFormatting sqref="D6:H6 J6">
    <cfRule type="notContainsBlanks" dxfId="79" priority="6">
      <formula>LEN(TRIM(D6))&gt;0</formula>
    </cfRule>
  </conditionalFormatting>
  <conditionalFormatting sqref="I6">
    <cfRule type="notContainsBlanks" dxfId="78" priority="4">
      <formula>LEN(TRIM(I6))&gt;0</formula>
    </cfRule>
  </conditionalFormatting>
  <conditionalFormatting sqref="D8:J8">
    <cfRule type="notContainsBlanks" dxfId="77" priority="3">
      <formula>LEN(TRIM(D8))&gt;0</formula>
    </cfRule>
  </conditionalFormatting>
  <conditionalFormatting sqref="D10:J10">
    <cfRule type="notContainsBlanks" dxfId="76" priority="2">
      <formula>LEN(TRIM(D10))&gt;0</formula>
    </cfRule>
  </conditionalFormatting>
  <conditionalFormatting sqref="D12:J12">
    <cfRule type="notContainsBlanks" dxfId="75" priority="1">
      <formula>LEN(TRIM(D12))&gt;0</formula>
    </cfRule>
  </conditionalFormatting>
  <dataValidations count="8">
    <dataValidation allowBlank="1" showInputMessage="1" prompt="Automatically determined weekday" sqref="E2:J2" xr:uid="{6448CF10-E9A5-412B-8ABF-976640311576}"/>
    <dataValidation allowBlank="1" showInputMessage="1" prompt="Automatically determined starting day of the week. To change weekdays, select a new starting day of the week in Q4 of 'JANUARY' worksheet" sqref="D2" xr:uid="{CE21DD0B-8E40-41F1-AC76-9492CD00C2C6}"/>
    <dataValidation allowBlank="1" showInputMessage="1" prompt="Navigation link to the previous month" sqref="B14" xr:uid="{0EBEC1FB-7913-4AF1-9667-2C3A749F8AEC}"/>
    <dataValidation allowBlank="1" showInputMessage="1" showErrorMessage="1" prompt="May month calendar" sqref="A1" xr:uid="{34E99A6A-CE7A-43C5-85F0-8C5E67C1A795}"/>
    <dataValidation allowBlank="1" showInputMessage="1" prompt="Rows 3, 5, 7, 9, 11, and 13 contain dates of the month, including the previous and next month, if applicable" sqref="D3" xr:uid="{4968964E-AA04-4F10-A4DB-DA393A268052}"/>
    <dataValidation allowBlank="1" showInputMessage="1" prompt="Enter daily notes in rows 4, 6, 8, 10, 12, and 14, columns D through J" sqref="D4" xr:uid="{50A40124-49B3-4018-918A-D9C89F634C1D}"/>
    <dataValidation allowBlank="1" showInputMessage="1" showErrorMessage="1" prompt="Navigation link to the next month" sqref="B15" xr:uid="{EDFEF7B7-DD51-4C8E-9A9E-60CE965F2FEC}"/>
    <dataValidation allowBlank="1" showInputMessage="1" showErrorMessage="1" prompt="Month for this worksheet is in this cell. Calendar is in the right contains dates from previous, current, and next month." sqref="A6" xr:uid="{F33F7D52-894D-441C-B92A-E2AE9FEE4202}"/>
  </dataValidations>
  <hyperlinks>
    <hyperlink ref="B14" location="APRIL!A1" tooltip="Navigation link to the next month" display=" &lt; APRIL" xr:uid="{84D6D454-BD54-4A1F-9157-12F07C1BCA80}"/>
    <hyperlink ref="B15" location="JUNE!A1" display="&gt; JUNE" xr:uid="{B7520799-92E9-48B7-A0EC-B38FAD58488E}"/>
  </hyperlinks>
  <printOptions horizontalCentered="1" verticalCentered="1"/>
  <pageMargins left="0.25" right="0.25" top="0.75" bottom="0.75" header="0.3" footer="0.3"/>
  <pageSetup scale="77" orientation="landscape" horizontalDpi="4294967293" verticalDpi="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957D5-567C-4123-8DF1-B0883F418A9D}">
  <sheetPr codeName="Sheet7">
    <tabColor theme="5" tint="0.79998168889431442"/>
    <pageSetUpPr fitToPage="1"/>
  </sheetPr>
  <dimension ref="A1:K19"/>
  <sheetViews>
    <sheetView showGridLines="0" zoomScaleNormal="100" workbookViewId="0">
      <selection activeCell="B2" sqref="B2"/>
    </sheetView>
  </sheetViews>
  <sheetFormatPr defaultRowHeight="14.45"/>
  <cols>
    <col min="1" max="1" width="13.88671875" bestFit="1" customWidth="1"/>
    <col min="2" max="2" width="43.6640625" style="117" customWidth="1"/>
    <col min="3" max="3" width="4.88671875" customWidth="1"/>
    <col min="4" max="10" width="21.21875" style="86" customWidth="1"/>
    <col min="11" max="11" width="4.88671875" customWidth="1"/>
  </cols>
  <sheetData>
    <row r="1" spans="1:11" ht="38.1" customHeight="1">
      <c r="A1" s="48"/>
      <c r="B1" s="162"/>
      <c r="C1" s="46"/>
      <c r="D1" s="99"/>
      <c r="E1" s="99"/>
      <c r="F1" s="99"/>
      <c r="G1" s="99"/>
      <c r="H1" s="47"/>
      <c r="I1" s="100"/>
      <c r="J1" s="100"/>
      <c r="K1" s="46"/>
    </row>
    <row r="2" spans="1:11" ht="25.35" customHeight="1" thickBot="1">
      <c r="A2" s="162" t="s">
        <v>552</v>
      </c>
      <c r="B2" s="162">
        <f>COUNTA(' CVM'!U4:U879)</f>
        <v>0</v>
      </c>
      <c r="C2" s="46"/>
      <c r="D2" s="101" t="str">
        <f t="shared" ref="D2:J2" ca="1" si="0">TEXT(D3,"ddd")</f>
        <v>Mon</v>
      </c>
      <c r="E2" s="101" t="str">
        <f t="shared" ca="1" si="0"/>
        <v>Tue</v>
      </c>
      <c r="F2" s="101" t="str">
        <f t="shared" ca="1" si="0"/>
        <v>Wed</v>
      </c>
      <c r="G2" s="101" t="str">
        <f t="shared" ca="1" si="0"/>
        <v>Thu</v>
      </c>
      <c r="H2" s="101" t="str">
        <f t="shared" ca="1" si="0"/>
        <v>Fri</v>
      </c>
      <c r="I2" s="101" t="str">
        <f t="shared" ca="1" si="0"/>
        <v>Sat</v>
      </c>
      <c r="J2" s="101" t="str">
        <f t="shared" ca="1" si="0"/>
        <v>Sun</v>
      </c>
      <c r="K2" s="46"/>
    </row>
    <row r="3" spans="1:11" ht="20.45" customHeight="1">
      <c r="A3" s="162" t="s">
        <v>553</v>
      </c>
      <c r="B3" s="162">
        <f>COUNTIF(' CVM'!V4:V62, TRUE)</f>
        <v>0</v>
      </c>
      <c r="C3" s="46"/>
      <c r="D3" s="51">
        <f t="array" aca="1" ref="D3:J3" ca="1">DaysAndWeeks+DATE(CalendarYear,6,1)-WEEKDAY(DATE(CalendarYear,6,1),(WeekStart="Mon")+1)+1</f>
        <v>46174</v>
      </c>
      <c r="E3" s="51">
        <f ca="1"/>
        <v>46175</v>
      </c>
      <c r="F3" s="51">
        <f ca="1"/>
        <v>46176</v>
      </c>
      <c r="G3" s="51">
        <f ca="1"/>
        <v>46177</v>
      </c>
      <c r="H3" s="51">
        <f ca="1"/>
        <v>46178</v>
      </c>
      <c r="I3" s="51">
        <f ca="1"/>
        <v>46179</v>
      </c>
      <c r="J3" s="77">
        <f ca="1"/>
        <v>46180</v>
      </c>
      <c r="K3" s="46"/>
    </row>
    <row r="4" spans="1:11" ht="83.1" customHeight="1" thickBot="1">
      <c r="A4" s="195" t="s">
        <v>557</v>
      </c>
      <c r="B4" s="162"/>
      <c r="C4" s="46"/>
      <c r="D4" s="95" t="str" cm="1">
        <f t="array" aca="1" ref="D4" ca="1">IFERROR(
  _xlfn.TEXTJOIN(CHAR(10), TRUE,
    _xlfn.LET(
      _xlpm.stores,
      _xlfn._xlws.FILTER(' CVM'!$E$4:$E$62, INT(' CVM'!$U$4:$U$62)=INT(D$3)),
      TEXT(_xlfn.SEQUENCE(ROWS(_xlpm.stores)),"0.") &amp; " " &amp; _xlpm.stores
    )
  ),
"")</f>
        <v/>
      </c>
      <c r="E4" s="95" t="str" cm="1">
        <f t="array" aca="1" ref="E4" ca="1">IFERROR(
  _xlfn.TEXTJOIN(CHAR(10), TRUE,
    _xlfn.LET(
      _xlpm.stores,
      _xlfn._xlws.FILTER(' CVM'!$E$4:$E$62, INT(' CVM'!$U$4:$U$62)=INT(E$3)),
      TEXT(_xlfn.SEQUENCE(ROWS(_xlpm.stores)),"0.") &amp; " " &amp; _xlpm.stores
    )
  ),
"")</f>
        <v/>
      </c>
      <c r="F4" s="95" t="str" cm="1">
        <f t="array" aca="1" ref="F4" ca="1">IFERROR(
  _xlfn.TEXTJOIN(CHAR(10), TRUE,
    _xlfn.LET(
      _xlpm.stores,
      _xlfn._xlws.FILTER(' CVM'!$E$4:$E$62, INT(' CVM'!$U$4:$U$62)=INT(F$3)),
      TEXT(_xlfn.SEQUENCE(ROWS(_xlpm.stores)),"0.") &amp; " " &amp; _xlpm.stores
    )
  ),
"")</f>
        <v/>
      </c>
      <c r="G4" s="95" t="str" cm="1">
        <f t="array" aca="1" ref="G4" ca="1">IFERROR(
  _xlfn.TEXTJOIN(CHAR(10), TRUE,
    _xlfn.LET(
      _xlpm.stores,
      _xlfn._xlws.FILTER(' CVM'!$E$4:$E$62, INT(' CVM'!$U$4:$U$62)=INT(G$3)),
      TEXT(_xlfn.SEQUENCE(ROWS(_xlpm.stores)),"0.") &amp; " " &amp; _xlpm.stores
    )
  ),
"")</f>
        <v/>
      </c>
      <c r="H4" s="95" t="str" cm="1">
        <f t="array" aca="1" ref="H4" ca="1">IFERROR(
  _xlfn.TEXTJOIN(CHAR(10), TRUE,
    _xlfn.LET(
      _xlpm.stores,
      _xlfn._xlws.FILTER(' CVM'!$E$4:$E$62, INT(' CVM'!$U$4:$U$62)=INT(H$3)),
      TEXT(_xlfn.SEQUENCE(ROWS(_xlpm.stores)),"0.") &amp; " " &amp; _xlpm.stores
    )
  ),
"")</f>
        <v/>
      </c>
      <c r="I4" s="95" t="str" cm="1">
        <f t="array" aca="1" ref="I4" ca="1">IFERROR(
  _xlfn.TEXTJOIN(CHAR(10), TRUE,
    _xlfn.LET(
      _xlpm.stores,
      _xlfn._xlws.FILTER(' CVM'!$E$4:$E$62, INT(' CVM'!$U$4:$U$62)=INT(I$3)),
      TEXT(_xlfn.SEQUENCE(ROWS(_xlpm.stores)),"0.") &amp; " " &amp; _xlpm.stores
    )
  ),
"")</f>
        <v/>
      </c>
      <c r="J4" s="96" t="str" cm="1">
        <f t="array" aca="1" ref="J4" ca="1">IFERROR(
  _xlfn.TEXTJOIN(CHAR(10), TRUE,
    _xlfn.LET(
      _xlpm.stores,
      _xlfn._xlws.FILTER(' CVM'!$E$4:$E$62, INT(' CVM'!$U$4:$U$62)=INT(J$3)),
      TEXT(_xlfn.SEQUENCE(ROWS(_xlpm.stores)),"0.") &amp; " " &amp; _xlpm.stores
    )
  ),
"")</f>
        <v/>
      </c>
      <c r="K4" s="46"/>
    </row>
    <row r="5" spans="1:11" ht="20.45" customHeight="1">
      <c r="A5" s="162" t="s">
        <v>559</v>
      </c>
      <c r="B5" s="215">
        <v>46181</v>
      </c>
      <c r="C5" s="46"/>
      <c r="D5" s="52">
        <f t="array" aca="1" ref="D5:J5" ca="1">DaysAndWeeks+DATE(CalendarYear,6,1)-WEEKDAY(DATE(CalendarYear,6,1),(WeekStart="Mon")+1)+8</f>
        <v>46181</v>
      </c>
      <c r="E5" s="52">
        <f ca="1"/>
        <v>46182</v>
      </c>
      <c r="F5" s="52">
        <f ca="1"/>
        <v>46183</v>
      </c>
      <c r="G5" s="52">
        <f ca="1"/>
        <v>46184</v>
      </c>
      <c r="H5" s="52">
        <f ca="1"/>
        <v>46185</v>
      </c>
      <c r="I5" s="52">
        <f ca="1"/>
        <v>46186</v>
      </c>
      <c r="J5" s="78">
        <f ca="1"/>
        <v>46187</v>
      </c>
      <c r="K5" s="46"/>
    </row>
    <row r="6" spans="1:11" ht="83.1" customHeight="1" thickBot="1">
      <c r="A6" s="320" t="s">
        <v>579</v>
      </c>
      <c r="B6" s="320"/>
      <c r="C6" s="46"/>
      <c r="D6" s="216" t="str" cm="1">
        <f t="array" aca="1" ref="D6" ca="1">IFERROR(
  _xlfn.TEXTJOIN(CHAR(10), TRUE,
    _xlfn.LET(
      _xlpm.stores,
      _xlfn._xlws.FILTER('[2] CVM'!$E$3:$E$515, INT('[2] CVM'!$S$3:$S$515)=INT(D$5)),
      TEXT(_xlfn.SEQUENCE(ROWS(_xlpm.stores)),"0.") &amp; " " &amp; _xlpm.stores
    )
  ),
"")</f>
        <v/>
      </c>
      <c r="E6" s="95" t="str" cm="1">
        <f t="array" aca="1" ref="E6" ca="1">IFERROR(
  _xlfn.TEXTJOIN(CHAR(10), TRUE,
    _xlfn.LET(
      _xlpm.stores,
      _xlfn._xlws.FILTER(' CVM'!$E$4:$E$62, INT(' CVM'!$U$4:$U$62)=INT(E$5)),
      TEXT(_xlfn.SEQUENCE(ROWS(_xlpm.stores)),"0.") &amp; " " &amp; _xlpm.stores
    )
  ),
"")</f>
        <v/>
      </c>
      <c r="F6" s="95" t="str" cm="1">
        <f t="array" aca="1" ref="F6" ca="1">IFERROR(
  _xlfn.TEXTJOIN(CHAR(10), TRUE,
    _xlfn.LET(
      _xlpm.stores,
      _xlfn._xlws.FILTER(' CVM'!$E$4:$E$62, INT(' CVM'!$U$4:$U$62)=INT(F$5)),
      TEXT(_xlfn.SEQUENCE(ROWS(_xlpm.stores)),"0.") &amp; " " &amp; _xlpm.stores
    )
  ),
"")</f>
        <v/>
      </c>
      <c r="G6" s="95" t="str" cm="1">
        <f t="array" aca="1" ref="G6" ca="1">IFERROR(
  _xlfn.TEXTJOIN(CHAR(10), TRUE,
    _xlfn.LET(
      _xlpm.stores,
      _xlfn._xlws.FILTER(' CVM'!$E$4:$E$62, INT(' CVM'!$U$4:$U$62)=INT(G$5)),
      TEXT(_xlfn.SEQUENCE(ROWS(_xlpm.stores)),"0.") &amp; " " &amp; _xlpm.stores
    )
  ),
"")</f>
        <v/>
      </c>
      <c r="H6" s="95" t="str" cm="1">
        <f t="array" aca="1" ref="H6" ca="1">IFERROR(
  _xlfn.TEXTJOIN(CHAR(10), TRUE,
    _xlfn.LET(
      _xlpm.stores,
      _xlfn._xlws.FILTER(' CVM'!$E$4:$E$62, INT(' CVM'!$U$4:$U$62)=INT(H$5)),
      TEXT(_xlfn.SEQUENCE(ROWS(_xlpm.stores)),"0.") &amp; " " &amp; _xlpm.stores
    )
  ),
"")</f>
        <v/>
      </c>
      <c r="I6" s="95" t="str" cm="1">
        <f t="array" aca="1" ref="I6" ca="1">IFERROR(
  _xlfn.TEXTJOIN(CHAR(10), TRUE,
    _xlfn.LET(
      _xlpm.stores,
      _xlfn._xlws.FILTER(' CVM'!$E$4:$E$62, INT(' CVM'!$U$4:$U$62)=INT(I$5)),
      TEXT(_xlfn.SEQUENCE(ROWS(_xlpm.stores)),"0.") &amp; " " &amp; _xlpm.stores
    )
  ),
"")</f>
        <v/>
      </c>
      <c r="J6" s="96" t="str" cm="1">
        <f t="array" aca="1" ref="J6" ca="1">IFERROR(
  _xlfn.TEXTJOIN(CHAR(10), TRUE,
    _xlfn.LET(
      _xlpm.stores,
      _xlfn._xlws.FILTER(' CVM'!$E$4:$E$62, INT(' CVM'!$U$4:$U$62)=INT(J$5)),
      TEXT(_xlfn.SEQUENCE(ROWS(_xlpm.stores)),"0.") &amp; " " &amp; _xlpm.stores
    )
  ),
"")</f>
        <v/>
      </c>
      <c r="K6" s="46"/>
    </row>
    <row r="7" spans="1:11" ht="20.45" customHeight="1" thickBot="1">
      <c r="A7" s="196" t="s">
        <v>494</v>
      </c>
      <c r="B7" s="163"/>
      <c r="C7" s="46"/>
      <c r="D7" s="52">
        <f t="array" aca="1" ref="D7:J7" ca="1">DaysAndWeeks+DATE(CalendarYear,6,1)-WEEKDAY(DATE(CalendarYear,6,1),(WeekStart="Mon")+1)+15</f>
        <v>46188</v>
      </c>
      <c r="E7" s="52">
        <f ca="1"/>
        <v>46189</v>
      </c>
      <c r="F7" s="52">
        <f ca="1"/>
        <v>46190</v>
      </c>
      <c r="G7" s="52">
        <f ca="1"/>
        <v>46191</v>
      </c>
      <c r="H7" s="52">
        <f ca="1"/>
        <v>46192</v>
      </c>
      <c r="I7" s="52">
        <f ca="1"/>
        <v>46193</v>
      </c>
      <c r="J7" s="78">
        <f ca="1"/>
        <v>46194</v>
      </c>
      <c r="K7" s="46"/>
    </row>
    <row r="8" spans="1:11" ht="83.1" customHeight="1" thickBot="1">
      <c r="A8" s="197"/>
      <c r="B8" s="198"/>
      <c r="C8" s="46"/>
      <c r="D8" s="95" t="str" cm="1">
        <f t="array" aca="1" ref="D8" ca="1">IFERROR(
  _xlfn.TEXTJOIN(CHAR(10), TRUE,
    _xlfn.LET(
      _xlpm.stores,
      _xlfn._xlws.FILTER(' CVM'!$E$4:$E$62, INT(' CVM'!$U$4:$U$62)=INT(D$7)),
      TEXT(_xlfn.SEQUENCE(ROWS(_xlpm.stores)),"0.") &amp; " " &amp; _xlpm.stores
    )
  ),
"")</f>
        <v/>
      </c>
      <c r="E8" s="95" t="str" cm="1">
        <f t="array" aca="1" ref="E8" ca="1">IFERROR(
  _xlfn.TEXTJOIN(CHAR(10), TRUE,
    _xlfn.LET(
      _xlpm.stores,
      _xlfn._xlws.FILTER(' CVM'!$E$4:$E$62, INT(' CVM'!$U$4:$U$62)=INT(E$7)),
      TEXT(_xlfn.SEQUENCE(ROWS(_xlpm.stores)),"0.") &amp; " " &amp; _xlpm.stores
    )
  ),
"")</f>
        <v/>
      </c>
      <c r="F8" s="95" t="str" cm="1">
        <f t="array" aca="1" ref="F8" ca="1">IFERROR(
  _xlfn.TEXTJOIN(CHAR(10), TRUE,
    _xlfn.LET(
      _xlpm.stores,
      _xlfn._xlws.FILTER(' CVM'!$E$4:$E$62, INT(' CVM'!$U$4:$U$62)=INT(F$7)),
      TEXT(_xlfn.SEQUENCE(ROWS(_xlpm.stores)),"0.") &amp; " " &amp; _xlpm.stores
    )
  ),
"")</f>
        <v/>
      </c>
      <c r="G8" s="95" t="str" cm="1">
        <f t="array" aca="1" ref="G8" ca="1">IFERROR(
  _xlfn.TEXTJOIN(CHAR(10), TRUE,
    _xlfn.LET(
      _xlpm.stores,
      _xlfn._xlws.FILTER(' CVM'!$E$4:$E$62, INT(' CVM'!$U$4:$U$62)=INT(G$7)),
      TEXT(_xlfn.SEQUENCE(ROWS(_xlpm.stores)),"0.") &amp; " " &amp; _xlpm.stores
    )
  ),
"")</f>
        <v/>
      </c>
      <c r="H8" s="95" t="str" cm="1">
        <f t="array" aca="1" ref="H8" ca="1">IFERROR(
  _xlfn.TEXTJOIN(CHAR(10), TRUE,
    _xlfn.LET(
      _xlpm.stores,
      _xlfn._xlws.FILTER(' CVM'!$E$4:$E$62, INT(' CVM'!$U$4:$U$62)=INT(H$7)),
      TEXT(_xlfn.SEQUENCE(ROWS(_xlpm.stores)),"0.") &amp; " " &amp; _xlpm.stores
    )
  ),
"")</f>
        <v/>
      </c>
      <c r="I8" s="95" t="str" cm="1">
        <f t="array" aca="1" ref="I8" ca="1">IFERROR(
  _xlfn.TEXTJOIN(CHAR(10), TRUE,
    _xlfn.LET(
      _xlpm.stores,
      _xlfn._xlws.FILTER(' CVM'!$E$4:$E$62, INT(' CVM'!$U$4:$U$62)=INT(I$7)),
      TEXT(_xlfn.SEQUENCE(ROWS(_xlpm.stores)),"0.") &amp; " " &amp; _xlpm.stores
    )
  ),
"")</f>
        <v/>
      </c>
      <c r="J8" s="96" t="str" cm="1">
        <f t="array" aca="1" ref="J8" ca="1">IFERROR(
  _xlfn.TEXTJOIN(CHAR(10), TRUE,
    _xlfn.LET(
      _xlpm.stores,
      _xlfn._xlws.FILTER(' CVM'!$E$4:$E$62, INT(' CVM'!$U$4:$U$62)=INT(J$7)),
      TEXT(_xlfn.SEQUENCE(ROWS(_xlpm.stores)),"0.") &amp; " " &amp; _xlpm.stores
    )
  ),
"")</f>
        <v/>
      </c>
      <c r="K8" s="46"/>
    </row>
    <row r="9" spans="1:11" ht="20.45" customHeight="1">
      <c r="A9" s="199"/>
      <c r="B9" s="200"/>
      <c r="C9" s="46"/>
      <c r="D9" s="52">
        <f t="array" aca="1" ref="D9:J9" ca="1">DaysAndWeeks+DATE(CalendarYear,6,1)-WEEKDAY(DATE(CalendarYear,6,1),(WeekStart="Mon")+1)+22</f>
        <v>46195</v>
      </c>
      <c r="E9" s="52">
        <f ca="1"/>
        <v>46196</v>
      </c>
      <c r="F9" s="52">
        <f ca="1"/>
        <v>46197</v>
      </c>
      <c r="G9" s="52">
        <f ca="1"/>
        <v>46198</v>
      </c>
      <c r="H9" s="52">
        <f ca="1"/>
        <v>46199</v>
      </c>
      <c r="I9" s="52">
        <f ca="1"/>
        <v>46200</v>
      </c>
      <c r="J9" s="78">
        <f ca="1"/>
        <v>46201</v>
      </c>
      <c r="K9" s="46"/>
    </row>
    <row r="10" spans="1:11" ht="83.1" customHeight="1" thickBot="1">
      <c r="A10" s="199"/>
      <c r="B10" s="201"/>
      <c r="C10" s="46"/>
      <c r="D10" s="95" t="str" cm="1">
        <f t="array" aca="1" ref="D10" ca="1">IFERROR(
  _xlfn.TEXTJOIN(CHAR(10), TRUE,
    _xlfn.LET(
      _xlpm.stores,
      _xlfn._xlws.FILTER(' CVM'!$E$4:$E$62, INT(' CVM'!$U$4:$U$62)=INT(D$9)),
      TEXT(_xlfn.SEQUENCE(ROWS(_xlpm.stores)),"0.") &amp; " " &amp; _xlpm.stores
    )
  ),
"")</f>
        <v/>
      </c>
      <c r="E10" s="95" t="str" cm="1">
        <f t="array" aca="1" ref="E10" ca="1">IFERROR(
  _xlfn.TEXTJOIN(CHAR(10), TRUE,
    _xlfn.LET(
      _xlpm.stores,
      _xlfn._xlws.FILTER(' CVM'!$E$4:$E$62, INT(' CVM'!$U$4:$U$62)=INT(E$9)),
      TEXT(_xlfn.SEQUENCE(ROWS(_xlpm.stores)),"0.") &amp; " " &amp; _xlpm.stores
    )
  ),
"")</f>
        <v/>
      </c>
      <c r="F10" s="95" t="str" cm="1">
        <f t="array" aca="1" ref="F10" ca="1">IFERROR(
  _xlfn.TEXTJOIN(CHAR(10), TRUE,
    _xlfn.LET(
      _xlpm.stores,
      _xlfn._xlws.FILTER(' CVM'!$E$4:$E$62, INT(' CVM'!$U$4:$U$62)=INT(F$9)),
      TEXT(_xlfn.SEQUENCE(ROWS(_xlpm.stores)),"0.") &amp; " " &amp; _xlpm.stores
    )
  ),
"")</f>
        <v/>
      </c>
      <c r="G10" s="95" t="str" cm="1">
        <f t="array" aca="1" ref="G10" ca="1">IFERROR(
  _xlfn.TEXTJOIN(CHAR(10), TRUE,
    _xlfn.LET(
      _xlpm.stores,
      _xlfn._xlws.FILTER(' CVM'!$E$4:$E$62, INT(' CVM'!$U$4:$U$62)=INT(G$9)),
      TEXT(_xlfn.SEQUENCE(ROWS(_xlpm.stores)),"0.") &amp; " " &amp; _xlpm.stores
    )
  ),
"")</f>
        <v/>
      </c>
      <c r="H10" s="95" t="str" cm="1">
        <f t="array" aca="1" ref="H10" ca="1">IFERROR(
  _xlfn.TEXTJOIN(CHAR(10), TRUE,
    _xlfn.LET(
      _xlpm.stores,
      _xlfn._xlws.FILTER(' CVM'!$E$4:$E$62, INT(' CVM'!$U$4:$U$62)=INT(H$9)),
      TEXT(_xlfn.SEQUENCE(ROWS(_xlpm.stores)),"0.") &amp; " " &amp; _xlpm.stores
    )
  ),
"")</f>
        <v/>
      </c>
      <c r="I10" s="95" t="str" cm="1">
        <f t="array" aca="1" ref="I10" ca="1">IFERROR(
  _xlfn.TEXTJOIN(CHAR(10), TRUE,
    _xlfn.LET(
      _xlpm.stores,
      _xlfn._xlws.FILTER(' CVM'!$E$4:$E$62, INT(' CVM'!$U$4:$U$62)=INT(I$9)),
      TEXT(_xlfn.SEQUENCE(ROWS(_xlpm.stores)),"0.") &amp; " " &amp; _xlpm.stores
    )
  ),
"")</f>
        <v/>
      </c>
      <c r="J10" s="96" t="str" cm="1">
        <f t="array" aca="1" ref="J10" ca="1">IFERROR(
  _xlfn.TEXTJOIN(CHAR(10), TRUE,
    _xlfn.LET(
      _xlpm.stores,
      _xlfn._xlws.FILTER(' CVM'!$E$4:$E$62, INT(' CVM'!$U$4:$U$62)=INT(J$9)),
      TEXT(_xlfn.SEQUENCE(ROWS(_xlpm.stores)),"0.") &amp; " " &amp; _xlpm.stores
    )
  ),
"")</f>
        <v/>
      </c>
      <c r="K10" s="46"/>
    </row>
    <row r="11" spans="1:11" ht="20.45" customHeight="1">
      <c r="A11" s="199"/>
      <c r="B11" s="201"/>
      <c r="C11" s="46"/>
      <c r="D11" s="52">
        <f t="array" aca="1" ref="D11:J11" ca="1">DaysAndWeeks+DATE(CalendarYear,6,1)-WEEKDAY(DATE(CalendarYear,6,1),(WeekStart="Mon")+1)+29</f>
        <v>46202</v>
      </c>
      <c r="E11" s="52">
        <f ca="1"/>
        <v>46203</v>
      </c>
      <c r="F11" s="52">
        <f ca="1"/>
        <v>46204</v>
      </c>
      <c r="G11" s="52">
        <f ca="1"/>
        <v>46205</v>
      </c>
      <c r="H11" s="52">
        <f ca="1"/>
        <v>46206</v>
      </c>
      <c r="I11" s="52">
        <f ca="1"/>
        <v>46207</v>
      </c>
      <c r="J11" s="78">
        <f ca="1"/>
        <v>46208</v>
      </c>
      <c r="K11" s="46"/>
    </row>
    <row r="12" spans="1:11" ht="83.1" customHeight="1" thickBot="1">
      <c r="A12" s="202"/>
      <c r="B12" s="201"/>
      <c r="C12" s="46"/>
      <c r="D12" s="95" t="str" cm="1">
        <f t="array" aca="1" ref="D12" ca="1">IFERROR(
  _xlfn.TEXTJOIN(CHAR(10), TRUE,
    _xlfn.LET(
      _xlpm.stores,
      _xlfn._xlws.FILTER(' CVM'!$E$4:$E$62, INT(' CVM'!$U$4:$U$62)=INT(D$11)),
      TEXT(_xlfn.SEQUENCE(ROWS(_xlpm.stores)),"0.") &amp; " " &amp; _xlpm.stores
    )
  ),
"")</f>
        <v/>
      </c>
      <c r="E12" s="95" t="str" cm="1">
        <f t="array" aca="1" ref="E12" ca="1">IFERROR(
  _xlfn.TEXTJOIN(CHAR(10), TRUE,
    _xlfn.LET(
      _xlpm.stores,
      _xlfn._xlws.FILTER(' CVM'!$E$4:$E$62, INT(' CVM'!$U$4:$U$62)=INT(E$11)),
      TEXT(_xlfn.SEQUENCE(ROWS(_xlpm.stores)),"0.") &amp; " " &amp; _xlpm.stores
    )
  ),
"")</f>
        <v/>
      </c>
      <c r="F12" s="95"/>
      <c r="G12" s="95"/>
      <c r="H12" s="95"/>
      <c r="I12" s="95"/>
      <c r="J12" s="96"/>
      <c r="K12" s="46"/>
    </row>
    <row r="13" spans="1:11" ht="20.45" customHeight="1" thickBot="1">
      <c r="A13" s="203"/>
      <c r="B13" s="204"/>
      <c r="C13" s="46"/>
      <c r="D13" s="52">
        <f t="array" aca="1" ref="D13:J13" ca="1">DaysAndWeeks+DATE(CalendarYear,6,1)-WEEKDAY(DATE(CalendarYear,6,1),(WeekStart="Mon")+1)+36</f>
        <v>46209</v>
      </c>
      <c r="E13" s="52">
        <f ca="1"/>
        <v>46210</v>
      </c>
      <c r="F13" s="52">
        <f ca="1"/>
        <v>46211</v>
      </c>
      <c r="G13" s="52">
        <f ca="1"/>
        <v>46212</v>
      </c>
      <c r="H13" s="52">
        <f ca="1"/>
        <v>46213</v>
      </c>
      <c r="I13" s="52">
        <f ca="1"/>
        <v>46214</v>
      </c>
      <c r="J13" s="78">
        <f ca="1"/>
        <v>46215</v>
      </c>
      <c r="K13" s="46"/>
    </row>
    <row r="14" spans="1:11" ht="83.1" customHeight="1" thickBot="1">
      <c r="A14" s="50"/>
      <c r="B14" s="164" t="s">
        <v>580</v>
      </c>
      <c r="C14" s="46"/>
      <c r="D14" s="103"/>
      <c r="E14" s="103"/>
      <c r="F14" s="103"/>
      <c r="G14" s="103"/>
      <c r="H14" s="103"/>
      <c r="I14" s="103"/>
      <c r="J14" s="104"/>
      <c r="K14" s="46"/>
    </row>
    <row r="15" spans="1:11" ht="22.5" customHeight="1">
      <c r="A15" s="49"/>
      <c r="B15" s="165" t="s">
        <v>581</v>
      </c>
      <c r="C15" s="46"/>
      <c r="D15" s="100"/>
      <c r="E15" s="100"/>
      <c r="F15" s="100"/>
      <c r="G15" s="100"/>
      <c r="H15" s="100"/>
      <c r="I15" s="100"/>
      <c r="J15" s="100"/>
      <c r="K15" s="46"/>
    </row>
    <row r="16" spans="1:11" ht="15" customHeight="1">
      <c r="A16" s="49"/>
      <c r="B16" s="163"/>
      <c r="C16" s="46"/>
      <c r="D16" s="100"/>
      <c r="E16" s="100"/>
      <c r="F16" s="100"/>
      <c r="G16" s="100"/>
      <c r="H16" s="100"/>
      <c r="I16" s="100"/>
      <c r="J16" s="100"/>
      <c r="K16" s="46"/>
    </row>
    <row r="17" ht="49.5" customHeight="1"/>
    <row r="19" ht="17.850000000000001" customHeight="1"/>
  </sheetData>
  <sheetProtection selectLockedCells="1" sort="0" autoFilter="0"/>
  <mergeCells count="1">
    <mergeCell ref="A6:B6"/>
  </mergeCells>
  <conditionalFormatting sqref="D3:J3">
    <cfRule type="expression" dxfId="74" priority="11">
      <formula>DAY(D3)&gt;8</formula>
    </cfRule>
  </conditionalFormatting>
  <conditionalFormatting sqref="D4:I4">
    <cfRule type="notContainsBlanks" dxfId="73" priority="13">
      <formula>LEN(TRIM(D4))&gt;0</formula>
    </cfRule>
  </conditionalFormatting>
  <conditionalFormatting sqref="D11:J11 D13:J14 F12:J12">
    <cfRule type="expression" dxfId="72" priority="9">
      <formula>AND(DAY(D11)&gt;=1,DAY(D11)&lt;=15)</formula>
    </cfRule>
  </conditionalFormatting>
  <conditionalFormatting sqref="D13:J14 F12:J12">
    <cfRule type="expression" dxfId="71" priority="10">
      <formula>AND(DAY(D11)&gt;=1,DAY(D11)&lt;=15)</formula>
    </cfRule>
  </conditionalFormatting>
  <conditionalFormatting sqref="E6:I6">
    <cfRule type="notContainsBlanks" dxfId="70" priority="4">
      <formula>LEN(TRIM(E6))&gt;0</formula>
    </cfRule>
  </conditionalFormatting>
  <conditionalFormatting sqref="D8:I8">
    <cfRule type="notContainsBlanks" dxfId="69" priority="3">
      <formula>LEN(TRIM(D8))&gt;0</formula>
    </cfRule>
  </conditionalFormatting>
  <conditionalFormatting sqref="D10:I10">
    <cfRule type="notContainsBlanks" dxfId="68" priority="2">
      <formula>LEN(TRIM(D10))&gt;0</formula>
    </cfRule>
  </conditionalFormatting>
  <conditionalFormatting sqref="D12:E12">
    <cfRule type="notContainsBlanks" dxfId="67" priority="1">
      <formula>LEN(TRIM(D12))&gt;0</formula>
    </cfRule>
  </conditionalFormatting>
  <dataValidations count="8">
    <dataValidation allowBlank="1" showInputMessage="1" prompt="Automatically determined weekday" sqref="E2:J2" xr:uid="{0532EF41-71E9-49B8-812C-CD5CB337004B}"/>
    <dataValidation allowBlank="1" showInputMessage="1" prompt="Automatically determined starting day of the week. To change weekdays, select a new starting day of the week in Q4 of 'JANUARY' worksheet" sqref="D2" xr:uid="{2FB6F5E4-C3F9-43E1-B292-A382944F07B6}"/>
    <dataValidation allowBlank="1" showInputMessage="1" prompt="Navigation link to the previous month" sqref="B14" xr:uid="{87DF4DC7-A520-4C48-9CA1-A9F7A25EE654}"/>
    <dataValidation allowBlank="1" showInputMessage="1" showErrorMessage="1" prompt="June month calendar" sqref="A1" xr:uid="{0F795F78-9308-4A79-8525-0148187CA8D8}"/>
    <dataValidation allowBlank="1" showInputMessage="1" showErrorMessage="1" prompt="Navigation link to the next month" sqref="B15" xr:uid="{F1A84A23-E94F-47C0-8FFF-ACEA91EBED70}"/>
    <dataValidation allowBlank="1" showInputMessage="1" prompt="Enter daily notes in rows 4, 6, 8, 10, 12, and 14, columns D through J" sqref="D10:J10 D4:J4 D12:E12 D8:J8 D6:J6" xr:uid="{FE2114AC-84DA-4BA7-89BF-A2D00535E180}"/>
    <dataValidation allowBlank="1" showInputMessage="1" showErrorMessage="1" prompt="Month for this worksheet is in this cell. Calendar is in the right contains dates from previous, current, and next month." sqref="A6" xr:uid="{6F4F1F58-6116-41E3-9AFF-11D1069FE55F}"/>
    <dataValidation allowBlank="1" showInputMessage="1" prompt="Rows 3, 5, 7, 9, 11, and 13 contain dates of the month, including the previous and next month, if applicable" sqref="D3" xr:uid="{61F59210-C94E-445D-B4F0-18083F329E1D}"/>
  </dataValidations>
  <hyperlinks>
    <hyperlink ref="B14" location="MAY!A1" tooltip="Navigation link to the next month" display=" &lt; MAY" xr:uid="{26B9F8A6-C064-47D1-97C1-360BA46B6201}"/>
    <hyperlink ref="B15" location="JULY!A1" display="&gt; JULY" xr:uid="{F5DB819E-BEE1-4BE9-AFDD-4D436B7189B6}"/>
  </hyperlinks>
  <printOptions horizontalCentered="1" verticalCentered="1"/>
  <pageMargins left="0.25" right="0.25" top="0.75" bottom="0.75" header="0.3" footer="0.3"/>
  <pageSetup scale="77" orientation="landscape" horizontalDpi="4294967293" verticalDpi="200" r:id="rId1"/>
  <ignoredErrors>
    <ignoredError sqref="B2:B3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7CFE5-43C7-4C36-83A8-CFF0E724546F}">
  <sheetPr codeName="Sheet8">
    <tabColor theme="9" tint="0.59999389629810485"/>
    <pageSetUpPr fitToPage="1"/>
  </sheetPr>
  <dimension ref="A1:K19"/>
  <sheetViews>
    <sheetView showGridLines="0" zoomScaleNormal="100" workbookViewId="0">
      <selection activeCell="B2" sqref="B2"/>
    </sheetView>
  </sheetViews>
  <sheetFormatPr defaultRowHeight="14.45"/>
  <cols>
    <col min="1" max="1" width="12.6640625" bestFit="1" customWidth="1"/>
    <col min="2" max="2" width="40.6640625" style="117" customWidth="1"/>
    <col min="3" max="3" width="4.88671875" customWidth="1"/>
    <col min="4" max="10" width="21.5546875" customWidth="1"/>
    <col min="11" max="11" width="4.88671875" customWidth="1"/>
  </cols>
  <sheetData>
    <row r="1" spans="1:11" ht="38.1" customHeight="1">
      <c r="A1" s="37"/>
      <c r="B1" s="133"/>
      <c r="C1" s="38"/>
      <c r="D1" s="39"/>
      <c r="E1" s="40"/>
      <c r="F1" s="40"/>
      <c r="G1" s="40"/>
      <c r="H1" s="41"/>
      <c r="I1" s="38"/>
      <c r="J1" s="38"/>
      <c r="K1" s="38"/>
    </row>
    <row r="2" spans="1:11" ht="25.35" customHeight="1" thickBot="1">
      <c r="A2" s="171" t="s">
        <v>552</v>
      </c>
      <c r="B2" s="170">
        <f>COUNTA(' CVM'!W4:W62)</f>
        <v>0</v>
      </c>
      <c r="C2" s="38"/>
      <c r="D2" s="42" t="str">
        <f t="shared" ref="D2:J2" ca="1" si="0">TEXT(D3,"ddd")</f>
        <v>Mon</v>
      </c>
      <c r="E2" s="42" t="str">
        <f t="shared" ca="1" si="0"/>
        <v>Tue</v>
      </c>
      <c r="F2" s="42" t="str">
        <f t="shared" ca="1" si="0"/>
        <v>Wed</v>
      </c>
      <c r="G2" s="42" t="str">
        <f t="shared" ca="1" si="0"/>
        <v>Thu</v>
      </c>
      <c r="H2" s="42" t="str">
        <f t="shared" ca="1" si="0"/>
        <v>Fri</v>
      </c>
      <c r="I2" s="42" t="str">
        <f t="shared" ca="1" si="0"/>
        <v>Sat</v>
      </c>
      <c r="J2" s="42" t="str">
        <f t="shared" ca="1" si="0"/>
        <v>Sun</v>
      </c>
      <c r="K2" s="38"/>
    </row>
    <row r="3" spans="1:11" ht="20.45" customHeight="1">
      <c r="A3" s="171" t="s">
        <v>553</v>
      </c>
      <c r="B3" s="170">
        <f>COUNTIF(' CVM'!X4:X62, TRUE)</f>
        <v>0</v>
      </c>
      <c r="C3" s="38"/>
      <c r="D3" s="73">
        <f t="array" aca="1" ref="D3:J3" ca="1">DaysAndWeeks+DATE(CalendarYear,7,1)-WEEKDAY(DATE(CalendarYear,7,1),(WeekStart="Mon")+1)+1</f>
        <v>46202</v>
      </c>
      <c r="E3" s="45">
        <f ca="1"/>
        <v>46203</v>
      </c>
      <c r="F3" s="45">
        <f ca="1"/>
        <v>46204</v>
      </c>
      <c r="G3" s="45">
        <f ca="1"/>
        <v>46205</v>
      </c>
      <c r="H3" s="45">
        <f ca="1"/>
        <v>46206</v>
      </c>
      <c r="I3" s="45">
        <f ca="1"/>
        <v>46207</v>
      </c>
      <c r="J3" s="45">
        <f ca="1"/>
        <v>46208</v>
      </c>
      <c r="K3" s="38"/>
    </row>
    <row r="4" spans="1:11" ht="83.1" customHeight="1" thickBot="1">
      <c r="A4" s="205" t="s">
        <v>557</v>
      </c>
      <c r="B4" s="182"/>
      <c r="C4" s="38"/>
      <c r="D4" s="55"/>
      <c r="E4" s="56"/>
      <c r="F4" s="81" t="str" cm="1">
        <f t="array" aca="1" ref="F4" ca="1">IFERROR(
  _xlfn.TEXTJOIN(CHAR(10), TRUE,
    _xlfn.LET(
      _xlpm.stores,
      _xlfn._xlws.FILTER(
        ' CVM'!$E$4:$E$62,
        IFERROR(INT(' CVM'!$W$4:$W$62),0)=INT(F$3)
      ),
      TEXT(_xlfn.SEQUENCE(ROWS(_xlpm.stores)),"0.") &amp; " " &amp; _xlpm.stores
    )
  ),
"")</f>
        <v/>
      </c>
      <c r="G4" s="81" t="str" cm="1">
        <f t="array" aca="1" ref="G4" ca="1">IFERROR(
  _xlfn.TEXTJOIN(CHAR(10), TRUE,
    _xlfn.LET(
      _xlpm.stores,
      _xlfn._xlws.FILTER(
        ' CVM'!$E$4:$E$62,
        IFERROR(INT(' CVM'!$W$4:$W$62),0)=INT(G$3)
      ),
      TEXT(_xlfn.SEQUENCE(ROWS(_xlpm.stores)),"0.") &amp; " " &amp; _xlpm.stores
    )
  ),
"")</f>
        <v/>
      </c>
      <c r="H4" s="81" t="str" cm="1">
        <f t="array" aca="1" ref="H4" ca="1">IFERROR(
  _xlfn.TEXTJOIN(CHAR(10), TRUE,
    _xlfn.LET(
      _xlpm.stores,
      _xlfn._xlws.FILTER(
        ' CVM'!$E$4:$E$62,
        IFERROR(INT(' CVM'!$W$4:$W$62),0)=INT(H$3)
      ),
      TEXT(_xlfn.SEQUENCE(ROWS(_xlpm.stores)),"0.") &amp; " " &amp; _xlpm.stores
    )
  ),
"")</f>
        <v/>
      </c>
      <c r="I4" s="81" t="str" cm="1">
        <f t="array" aca="1" ref="I4" ca="1">IFERROR(
  _xlfn.TEXTJOIN(CHAR(10), TRUE,
    _xlfn.LET(
      _xlpm.stores,
      _xlfn._xlws.FILTER(
        ' CVM'!$E$4:$E$62,
        IFERROR(INT(' CVM'!$W$4:$W$62),0)=INT(I$3)
      ),
      TEXT(_xlfn.SEQUENCE(ROWS(_xlpm.stores)),"0.") &amp; " " &amp; _xlpm.stores
    )
  ),
"")</f>
        <v/>
      </c>
      <c r="J4" s="81" t="str" cm="1">
        <f t="array" aca="1" ref="J4" ca="1">IFERROR(
  _xlfn.TEXTJOIN(CHAR(10), TRUE,
    _xlfn.LET(
      _xlpm.stores,
      _xlfn._xlws.FILTER(
        ' CVM'!$E$4:$E$62,
        IFERROR(INT(' CVM'!$W$4:$W$62),0)=INT(J$3)
      ),
      TEXT(_xlfn.SEQUENCE(ROWS(_xlpm.stores)),"0.") &amp; " " &amp; _xlpm.stores
    )
  ),
"")</f>
        <v/>
      </c>
      <c r="K4" s="38"/>
    </row>
    <row r="5" spans="1:11" ht="20.45" customHeight="1">
      <c r="A5" s="171" t="s">
        <v>559</v>
      </c>
      <c r="B5" s="172" t="s">
        <v>565</v>
      </c>
      <c r="C5" s="38"/>
      <c r="D5" s="54">
        <f t="array" aca="1" ref="D5:J5" ca="1">DaysAndWeeks+DATE(CalendarYear,7,1)-WEEKDAY(DATE(CalendarYear,7,1),(WeekStart="Mon")+1)+8</f>
        <v>46209</v>
      </c>
      <c r="E5" s="53">
        <f ca="1"/>
        <v>46210</v>
      </c>
      <c r="F5" s="53">
        <f ca="1"/>
        <v>46211</v>
      </c>
      <c r="G5" s="53">
        <f ca="1"/>
        <v>46212</v>
      </c>
      <c r="H5" s="53">
        <f ca="1"/>
        <v>46213</v>
      </c>
      <c r="I5" s="53">
        <f ca="1"/>
        <v>46214</v>
      </c>
      <c r="J5" s="53">
        <f ca="1"/>
        <v>46215</v>
      </c>
      <c r="K5" s="38"/>
    </row>
    <row r="6" spans="1:11" ht="83.1" customHeight="1" thickBot="1">
      <c r="A6" s="290" t="s">
        <v>582</v>
      </c>
      <c r="B6" s="290"/>
      <c r="C6" s="38"/>
      <c r="D6" s="81" t="str" cm="1">
        <f t="array" aca="1" ref="D6" ca="1">IFERROR(
  _xlfn.TEXTJOIN(CHAR(10), TRUE,
    _xlfn.LET(
      _xlpm.stores,
      _xlfn._xlws.FILTER(
        ' CVM'!$E$4:$E$62,
        IFERROR(INT(' CVM'!$W$4:$W$62),0)=INT(D$5)
      ),
      TEXT(_xlfn.SEQUENCE(ROWS(_xlpm.stores)),"0.") &amp; " " &amp; _xlpm.stores
    )
  ),
"")</f>
        <v/>
      </c>
      <c r="E6" s="81" t="str" cm="1">
        <f t="array" aca="1" ref="E6" ca="1">IFERROR(
  _xlfn.TEXTJOIN(CHAR(10), TRUE,
    _xlfn.LET(
      _xlpm.stores,
      _xlfn._xlws.FILTER(
        ' CVM'!$E$4:$E$62,
        IFERROR(INT(' CVM'!$W$4:$W$62),0)=INT(E$5)
      ),
      TEXT(_xlfn.SEQUENCE(ROWS(_xlpm.stores)),"0.") &amp; " " &amp; _xlpm.stores
    )
  ),
"")</f>
        <v/>
      </c>
      <c r="F6" s="81" t="str" cm="1">
        <f t="array" aca="1" ref="F6" ca="1">IFERROR(
  _xlfn.TEXTJOIN(CHAR(10), TRUE,
    _xlfn.LET(
      _xlpm.stores,
      _xlfn._xlws.FILTER(
        ' CVM'!$E$4:$E$62,
        IFERROR(INT(' CVM'!$W$4:$W$62),0)=INT(F$5)
      ),
      TEXT(_xlfn.SEQUENCE(ROWS(_xlpm.stores)),"0.") &amp; " " &amp; _xlpm.stores
    )
  ),
"")</f>
        <v/>
      </c>
      <c r="G6" s="81" t="str" cm="1">
        <f t="array" aca="1" ref="G6" ca="1">IFERROR(
  _xlfn.TEXTJOIN(CHAR(10), TRUE,
    _xlfn.LET(
      _xlpm.stores,
      _xlfn._xlws.FILTER(
        ' CVM'!$E$4:$E$62,
        IFERROR(INT(' CVM'!$W$4:$W$62),0)=INT(G$5)
      ),
      TEXT(_xlfn.SEQUENCE(ROWS(_xlpm.stores)),"0.") &amp; " " &amp; _xlpm.stores
    )
  ),
"")</f>
        <v/>
      </c>
      <c r="H6" s="81" t="str" cm="1">
        <f t="array" aca="1" ref="H6" ca="1">IFERROR(
  _xlfn.TEXTJOIN(CHAR(10), TRUE,
    _xlfn.LET(
      _xlpm.stores,
      _xlfn._xlws.FILTER(
        ' CVM'!$E$4:$E$62,
        IFERROR(INT(' CVM'!$W$4:$W$62),0)=INT(H$5)
      ),
      TEXT(_xlfn.SEQUENCE(ROWS(_xlpm.stores)),"0.") &amp; " " &amp; _xlpm.stores
    )
  ),
"")</f>
        <v/>
      </c>
      <c r="I6" s="81" t="str" cm="1">
        <f t="array" aca="1" ref="I6" ca="1">IFERROR(
  _xlfn.TEXTJOIN(CHAR(10), TRUE,
    _xlfn.LET(
      _xlpm.stores,
      _xlfn._xlws.FILTER(
        ' CVM'!$E$4:$E$62,
        IFERROR(INT(' CVM'!$W$4:$W$62),0)=INT(I$5)
      ),
      TEXT(_xlfn.SEQUENCE(ROWS(_xlpm.stores)),"0.") &amp; " " &amp; _xlpm.stores
    )
  ),
"")</f>
        <v/>
      </c>
      <c r="J6" s="81" t="str" cm="1">
        <f t="array" aca="1" ref="J6" ca="1">IFERROR(
  _xlfn.TEXTJOIN(CHAR(10), TRUE,
    _xlfn.LET(
      _xlpm.stores,
      _xlfn._xlws.FILTER(
        ' CVM'!$E$4:$E$62,
        IFERROR(INT(' CVM'!$W$4:$W$62),0)=INT(J$5)
      ),
      TEXT(_xlfn.SEQUENCE(ROWS(_xlpm.stores)),"0.") &amp; " " &amp; _xlpm.stores
    )
  ),
"")</f>
        <v/>
      </c>
      <c r="K6" s="38"/>
    </row>
    <row r="7" spans="1:11" ht="20.45" customHeight="1" thickBot="1">
      <c r="A7" s="289" t="s">
        <v>494</v>
      </c>
      <c r="B7" s="289"/>
      <c r="C7" s="38"/>
      <c r="D7" s="54">
        <f t="array" aca="1" ref="D7:J7" ca="1">DaysAndWeeks+DATE(CalendarYear,7,1)-WEEKDAY(DATE(CalendarYear,7,1),(WeekStart="Mon")+1)+15</f>
        <v>46216</v>
      </c>
      <c r="E7" s="53">
        <f ca="1"/>
        <v>46217</v>
      </c>
      <c r="F7" s="53">
        <f ca="1"/>
        <v>46218</v>
      </c>
      <c r="G7" s="53">
        <f ca="1"/>
        <v>46219</v>
      </c>
      <c r="H7" s="53">
        <f ca="1"/>
        <v>46220</v>
      </c>
      <c r="I7" s="53">
        <f ca="1"/>
        <v>46221</v>
      </c>
      <c r="J7" s="53">
        <f ca="1"/>
        <v>46222</v>
      </c>
      <c r="K7" s="38"/>
    </row>
    <row r="8" spans="1:11" ht="83.1" customHeight="1" thickBot="1">
      <c r="A8" s="283"/>
      <c r="B8" s="284"/>
      <c r="C8" s="38"/>
      <c r="D8" s="81" t="str" cm="1">
        <f t="array" aca="1" ref="D8" ca="1">IFERROR(
  _xlfn.TEXTJOIN(CHAR(10), TRUE,
    _xlfn.LET(
      _xlpm.stores,
      _xlfn._xlws.FILTER(
        ' CVM'!$E$4:$E$62,
        IFERROR(INT(' CVM'!$W$4:$W$62),0)=INT(D$7)
      ),
      TEXT(_xlfn.SEQUENCE(ROWS(_xlpm.stores)),"0.") &amp; " " &amp; _xlpm.stores
    )
  ),
"")</f>
        <v/>
      </c>
      <c r="E8" s="81" t="str" cm="1">
        <f t="array" aca="1" ref="E8" ca="1">IFERROR(
  _xlfn.TEXTJOIN(CHAR(10), TRUE,
    _xlfn.LET(
      _xlpm.stores,
      _xlfn._xlws.FILTER(
        ' CVM'!$E$4:$E$62,
        IFERROR(INT(' CVM'!$W$4:$W$62),0)=INT(E$7)
      ),
      TEXT(_xlfn.SEQUENCE(ROWS(_xlpm.stores)),"0.") &amp; " " &amp; _xlpm.stores
    )
  ),
"")</f>
        <v/>
      </c>
      <c r="F8" s="81" t="str" cm="1">
        <f t="array" aca="1" ref="F8" ca="1">IFERROR(
  _xlfn.TEXTJOIN(CHAR(10), TRUE,
    _xlfn.LET(
      _xlpm.stores,
      _xlfn._xlws.FILTER(
        ' CVM'!$E$4:$E$62,
        IFERROR(INT(' CVM'!$W$4:$W$62),0)=INT(F$7)
      ),
      TEXT(_xlfn.SEQUENCE(ROWS(_xlpm.stores)),"0.") &amp; " " &amp; _xlpm.stores
    )
  ),
"")</f>
        <v/>
      </c>
      <c r="G8" s="81" t="str" cm="1">
        <f t="array" aca="1" ref="G8" ca="1">IFERROR(
  _xlfn.TEXTJOIN(CHAR(10), TRUE,
    _xlfn.LET(
      _xlpm.stores,
      _xlfn._xlws.FILTER(
        ' CVM'!$E$4:$E$62,
        IFERROR(INT(' CVM'!$W$4:$W$62),0)=INT(G$7)
      ),
      TEXT(_xlfn.SEQUENCE(ROWS(_xlpm.stores)),"0.") &amp; " " &amp; _xlpm.stores
    )
  ),
"")</f>
        <v/>
      </c>
      <c r="H8" s="81" t="str" cm="1">
        <f t="array" aca="1" ref="H8" ca="1">IFERROR(
  _xlfn.TEXTJOIN(CHAR(10), TRUE,
    _xlfn.LET(
      _xlpm.stores,
      _xlfn._xlws.FILTER(
        ' CVM'!$E$4:$E$62,
        IFERROR(INT(' CVM'!$W$4:$W$62),0)=INT(H$7)
      ),
      TEXT(_xlfn.SEQUENCE(ROWS(_xlpm.stores)),"0.") &amp; " " &amp; _xlpm.stores
    )
  ),
"")</f>
        <v/>
      </c>
      <c r="I8" s="81" t="str" cm="1">
        <f t="array" aca="1" ref="I8" ca="1">IFERROR(
  _xlfn.TEXTJOIN(CHAR(10), TRUE,
    _xlfn.LET(
      _xlpm.stores,
      _xlfn._xlws.FILTER(
        ' CVM'!$E$4:$E$62,
        IFERROR(INT(' CVM'!$W$4:$W$62),0)=INT(I$7)
      ),
      TEXT(_xlfn.SEQUENCE(ROWS(_xlpm.stores)),"0.") &amp; " " &amp; _xlpm.stores
    )
  ),
"")</f>
        <v/>
      </c>
      <c r="J8" s="81" t="str" cm="1">
        <f t="array" aca="1" ref="J8" ca="1">IFERROR(
  _xlfn.TEXTJOIN(CHAR(10), TRUE,
    _xlfn.LET(
      _xlpm.stores,
      _xlfn._xlws.FILTER(
        ' CVM'!$E$4:$E$62,
        IFERROR(INT(' CVM'!$W$4:$W$62),0)=INT(J$7)
      ),
      TEXT(_xlfn.SEQUENCE(ROWS(_xlpm.stores)),"0.") &amp; " " &amp; _xlpm.stores
    )
  ),
"")</f>
        <v/>
      </c>
      <c r="K8" s="38"/>
    </row>
    <row r="9" spans="1:11" ht="20.45" customHeight="1">
      <c r="A9" s="285"/>
      <c r="B9" s="286"/>
      <c r="C9" s="38"/>
      <c r="D9" s="54">
        <f t="array" aca="1" ref="D9:J9" ca="1">DaysAndWeeks+DATE(CalendarYear,7,1)-WEEKDAY(DATE(CalendarYear,7,1),(WeekStart="Mon")+1)+22</f>
        <v>46223</v>
      </c>
      <c r="E9" s="53">
        <f ca="1"/>
        <v>46224</v>
      </c>
      <c r="F9" s="53">
        <f ca="1"/>
        <v>46225</v>
      </c>
      <c r="G9" s="53">
        <f ca="1"/>
        <v>46226</v>
      </c>
      <c r="H9" s="53">
        <f ca="1"/>
        <v>46227</v>
      </c>
      <c r="I9" s="53">
        <f ca="1"/>
        <v>46228</v>
      </c>
      <c r="J9" s="53">
        <f ca="1"/>
        <v>46229</v>
      </c>
      <c r="K9" s="38"/>
    </row>
    <row r="10" spans="1:11" ht="83.1" customHeight="1" thickBot="1">
      <c r="A10" s="285"/>
      <c r="B10" s="286"/>
      <c r="C10" s="38"/>
      <c r="D10" s="81" t="str" cm="1">
        <f t="array" aca="1" ref="D10" ca="1">IFERROR(
  _xlfn.TEXTJOIN(CHAR(10), TRUE,
    _xlfn.LET(
      _xlpm.stores,
      _xlfn._xlws.FILTER(
        ' CVM'!$E$4:$E$62,
        IFERROR(INT(' CVM'!$W$4:$W$62),0)=INT(D$9)
      ),
      TEXT(_xlfn.SEQUENCE(ROWS(_xlpm.stores)),"0.") &amp; " " &amp; _xlpm.stores
    )
  ),
"")</f>
        <v/>
      </c>
      <c r="E10" s="81" t="str" cm="1">
        <f t="array" aca="1" ref="E10" ca="1">IFERROR(
  _xlfn.TEXTJOIN(CHAR(10), TRUE,
    _xlfn.LET(
      _xlpm.stores,
      _xlfn._xlws.FILTER(
        ' CVM'!$E$4:$E$62,
        IFERROR(INT(' CVM'!$W$4:$W$62),0)=INT(E$9)
      ),
      TEXT(_xlfn.SEQUENCE(ROWS(_xlpm.stores)),"0.") &amp; " " &amp; _xlpm.stores
    )
  ),
"")</f>
        <v/>
      </c>
      <c r="F10" s="81" t="str" cm="1">
        <f t="array" aca="1" ref="F10" ca="1">IFERROR(
  _xlfn.TEXTJOIN(CHAR(10), TRUE,
    _xlfn.LET(
      _xlpm.stores,
      _xlfn._xlws.FILTER(
        ' CVM'!$E$4:$E$62,
        IFERROR(INT(' CVM'!$W$4:$W$62),0)=INT(F$9)
      ),
      TEXT(_xlfn.SEQUENCE(ROWS(_xlpm.stores)),"0.") &amp; " " &amp; _xlpm.stores
    )
  ),
"")</f>
        <v/>
      </c>
      <c r="G10" s="81" t="str" cm="1">
        <f t="array" aca="1" ref="G10" ca="1">IFERROR(
  _xlfn.TEXTJOIN(CHAR(10), TRUE,
    _xlfn.LET(
      _xlpm.stores,
      _xlfn._xlws.FILTER(
        ' CVM'!$E$4:$E$62,
        IFERROR(INT(' CVM'!$W$4:$W$62),0)=INT(G$9)
      ),
      TEXT(_xlfn.SEQUENCE(ROWS(_xlpm.stores)),"0.") &amp; " " &amp; _xlpm.stores
    )
  ),
"")</f>
        <v/>
      </c>
      <c r="H10" s="81" t="str" cm="1">
        <f t="array" aca="1" ref="H10" ca="1">IFERROR(
  _xlfn.TEXTJOIN(CHAR(10), TRUE,
    _xlfn.LET(
      _xlpm.stores,
      _xlfn._xlws.FILTER(
        ' CVM'!$E$4:$E$62,
        IFERROR(INT(' CVM'!$W$4:$W$62),0)=INT(H$9)
      ),
      TEXT(_xlfn.SEQUENCE(ROWS(_xlpm.stores)),"0.") &amp; " " &amp; _xlpm.stores
    )
  ),
"")</f>
        <v/>
      </c>
      <c r="I10" s="81" t="str" cm="1">
        <f t="array" aca="1" ref="I10" ca="1">IFERROR(
  _xlfn.TEXTJOIN(CHAR(10), TRUE,
    _xlfn.LET(
      _xlpm.stores,
      _xlfn._xlws.FILTER(
        ' CVM'!$E$4:$E$62,
        IFERROR(INT(' CVM'!$W$4:$W$62),0)=INT(I$9)
      ),
      TEXT(_xlfn.SEQUENCE(ROWS(_xlpm.stores)),"0.") &amp; " " &amp; _xlpm.stores
    )
  ),
"")</f>
        <v/>
      </c>
      <c r="J10" s="81" t="str" cm="1">
        <f t="array" aca="1" ref="J10" ca="1">IFERROR(
  _xlfn.TEXTJOIN(CHAR(10), TRUE,
    _xlfn.LET(
      _xlpm.stores,
      _xlfn._xlws.FILTER(
        ' CVM'!$E$4:$E$62,
        IFERROR(INT(' CVM'!$W$4:$W$62),0)=INT(J$9)
      ),
      TEXT(_xlfn.SEQUENCE(ROWS(_xlpm.stores)),"0.") &amp; " " &amp; _xlpm.stores
    )
  ),
"")</f>
        <v/>
      </c>
      <c r="K10" s="38"/>
    </row>
    <row r="11" spans="1:11" ht="20.45" customHeight="1">
      <c r="A11" s="285"/>
      <c r="B11" s="286"/>
      <c r="C11" s="38"/>
      <c r="D11" s="54">
        <f t="array" aca="1" ref="D11:J11" ca="1">DaysAndWeeks+DATE(CalendarYear,7,1)-WEEKDAY(DATE(CalendarYear,7,1),(WeekStart="Mon")+1)+29</f>
        <v>46230</v>
      </c>
      <c r="E11" s="53">
        <f ca="1"/>
        <v>46231</v>
      </c>
      <c r="F11" s="53">
        <f ca="1"/>
        <v>46232</v>
      </c>
      <c r="G11" s="53">
        <f ca="1"/>
        <v>46233</v>
      </c>
      <c r="H11" s="53">
        <f ca="1"/>
        <v>46234</v>
      </c>
      <c r="I11" s="53">
        <f ca="1"/>
        <v>46235</v>
      </c>
      <c r="J11" s="53">
        <f ca="1"/>
        <v>46236</v>
      </c>
      <c r="K11" s="38"/>
    </row>
    <row r="12" spans="1:11" ht="83.1" customHeight="1" thickBot="1">
      <c r="A12" s="285"/>
      <c r="B12" s="286"/>
      <c r="C12" s="38"/>
      <c r="D12" s="81" t="str" cm="1">
        <f t="array" aca="1" ref="D12" ca="1">IFERROR(
  _xlfn.TEXTJOIN(CHAR(10), TRUE,
    _xlfn.LET(
      _xlpm.stores,
      _xlfn._xlws.FILTER(
        ' CVM'!$E$4:$E$62,
        IFERROR(INT(' CVM'!$W$4:$W$62),0)=INT(D$11)
      ),
      TEXT(_xlfn.SEQUENCE(ROWS(_xlpm.stores)),"0.") &amp; " " &amp; _xlpm.stores
    )
  ),
"")</f>
        <v/>
      </c>
      <c r="E12" s="81" t="str" cm="1">
        <f t="array" aca="1" ref="E12" ca="1">IFERROR(
  _xlfn.TEXTJOIN(CHAR(10), TRUE,
    _xlfn.LET(
      _xlpm.stores,
      _xlfn._xlws.FILTER(
        ' CVM'!$E$4:$E$62,
        IFERROR(INT(' CVM'!$W$4:$W$62),0)=INT(E$11)
      ),
      TEXT(_xlfn.SEQUENCE(ROWS(_xlpm.stores)),"0.") &amp; " " &amp; _xlpm.stores
    )
  ),
"")</f>
        <v/>
      </c>
      <c r="F12" s="81" t="str" cm="1">
        <f t="array" aca="1" ref="F12" ca="1">IFERROR(
  _xlfn.TEXTJOIN(CHAR(10), TRUE,
    _xlfn.LET(
      _xlpm.stores,
      _xlfn._xlws.FILTER(
        ' CVM'!$E$4:$E$62,
        IFERROR(INT(' CVM'!$W$4:$W$62),0)=INT(F$11)
      ),
      TEXT(_xlfn.SEQUENCE(ROWS(_xlpm.stores)),"0.") &amp; " " &amp; _xlpm.stores
    )
  ),
"")</f>
        <v/>
      </c>
      <c r="G12" s="81" t="str" cm="1">
        <f t="array" aca="1" ref="G12" ca="1">IFERROR(
  _xlfn.TEXTJOIN(CHAR(10), TRUE,
    _xlfn.LET(
      _xlpm.stores,
      _xlfn._xlws.FILTER(
        ' CVM'!$E$4:$E$62,
        IFERROR(INT(' CVM'!$W$4:$W$62),0)=INT(G$11)
      ),
      TEXT(_xlfn.SEQUENCE(ROWS(_xlpm.stores)),"0.") &amp; " " &amp; _xlpm.stores
    )
  ),
"")</f>
        <v/>
      </c>
      <c r="H12" s="81" t="str" cm="1">
        <f t="array" aca="1" ref="H12" ca="1">IFERROR(
  _xlfn.TEXTJOIN(CHAR(10), TRUE,
    _xlfn.LET(
      _xlpm.stores,
      _xlfn._xlws.FILTER(
        ' CVM'!$E$4:$E$62,
        IFERROR(INT(' CVM'!$W$4:$W$62),0)=INT(H$11)
      ),
      TEXT(_xlfn.SEQUENCE(ROWS(_xlpm.stores)),"0.") &amp; " " &amp; _xlpm.stores
    )
  ),
"")</f>
        <v/>
      </c>
      <c r="I12" s="56"/>
      <c r="J12" s="56"/>
      <c r="K12" s="38"/>
    </row>
    <row r="13" spans="1:11" ht="20.45" customHeight="1" thickBot="1">
      <c r="A13" s="287"/>
      <c r="B13" s="288"/>
      <c r="C13" s="38"/>
      <c r="D13" s="54">
        <f t="array" aca="1" ref="D13:J13" ca="1">DaysAndWeeks+DATE(CalendarYear,7,1)-WEEKDAY(DATE(CalendarYear,7,1),(WeekStart="Mon")+1)+36</f>
        <v>46237</v>
      </c>
      <c r="E13" s="53">
        <f ca="1"/>
        <v>46238</v>
      </c>
      <c r="F13" s="53">
        <f ca="1"/>
        <v>46239</v>
      </c>
      <c r="G13" s="53">
        <f ca="1"/>
        <v>46240</v>
      </c>
      <c r="H13" s="53">
        <f ca="1"/>
        <v>46241</v>
      </c>
      <c r="I13" s="53">
        <f ca="1"/>
        <v>46242</v>
      </c>
      <c r="J13" s="53">
        <f ca="1"/>
        <v>46243</v>
      </c>
      <c r="K13" s="38"/>
    </row>
    <row r="14" spans="1:11" ht="83.1" customHeight="1" thickBot="1">
      <c r="A14" s="44"/>
      <c r="B14" s="137" t="s">
        <v>583</v>
      </c>
      <c r="C14" s="38"/>
      <c r="D14" s="55"/>
      <c r="E14" s="56"/>
      <c r="F14" s="56"/>
      <c r="G14" s="56"/>
      <c r="H14" s="56"/>
      <c r="I14" s="56"/>
      <c r="J14" s="56"/>
      <c r="K14" s="38"/>
    </row>
    <row r="15" spans="1:11" ht="22.5" customHeight="1">
      <c r="A15" s="43"/>
      <c r="B15" s="138" t="s">
        <v>584</v>
      </c>
      <c r="C15" s="38"/>
      <c r="D15" s="38"/>
      <c r="E15" s="38"/>
      <c r="F15" s="38"/>
      <c r="G15" s="38"/>
      <c r="H15" s="38"/>
      <c r="I15" s="38"/>
      <c r="J15" s="38"/>
      <c r="K15" s="38"/>
    </row>
    <row r="16" spans="1:11" ht="15" customHeight="1">
      <c r="A16" s="43"/>
      <c r="B16" s="134"/>
      <c r="C16" s="38"/>
      <c r="D16" s="38"/>
      <c r="E16" s="38"/>
      <c r="F16" s="38"/>
      <c r="G16" s="38"/>
      <c r="H16" s="38"/>
      <c r="I16" s="38"/>
      <c r="J16" s="38"/>
      <c r="K16" s="38"/>
    </row>
    <row r="17" ht="49.5" customHeight="1"/>
    <row r="19" ht="17.850000000000001" customHeight="1"/>
  </sheetData>
  <sheetProtection selectLockedCells="1" sort="0" autoFilter="0"/>
  <mergeCells count="3">
    <mergeCell ref="A6:B6"/>
    <mergeCell ref="A7:B7"/>
    <mergeCell ref="A8:B13"/>
  </mergeCells>
  <conditionalFormatting sqref="D3:J3">
    <cfRule type="expression" dxfId="66" priority="37">
      <formula>DAY(D3)&gt;8</formula>
    </cfRule>
  </conditionalFormatting>
  <conditionalFormatting sqref="D4:E4">
    <cfRule type="expression" dxfId="65" priority="38">
      <formula>DAY(D3)&gt;8</formula>
    </cfRule>
  </conditionalFormatting>
  <conditionalFormatting sqref="D11:J11 D13:J14 I12:J12">
    <cfRule type="expression" dxfId="64" priority="35">
      <formula>AND(DAY(D11)&gt;=1,DAY(D11)&lt;=15)</formula>
    </cfRule>
  </conditionalFormatting>
  <conditionalFormatting sqref="D13:J14 I12:J12">
    <cfRule type="expression" dxfId="63" priority="36">
      <formula>AND(DAY(D11)&gt;=1,DAY(D11)&lt;=15)</formula>
    </cfRule>
  </conditionalFormatting>
  <conditionalFormatting sqref="F4:J4">
    <cfRule type="notContainsBlanks" dxfId="62" priority="33">
      <formula>LEN(TRIM(F4))&gt;0</formula>
    </cfRule>
  </conditionalFormatting>
  <conditionalFormatting sqref="F4:J4">
    <cfRule type="containsBlanks" dxfId="61" priority="34">
      <formula>LEN(TRIM(F4))=0</formula>
    </cfRule>
  </conditionalFormatting>
  <conditionalFormatting sqref="D6:J6">
    <cfRule type="notContainsBlanks" dxfId="60" priority="7">
      <formula>LEN(TRIM(D6))&gt;0</formula>
    </cfRule>
  </conditionalFormatting>
  <conditionalFormatting sqref="D6:J6">
    <cfRule type="containsBlanks" dxfId="59" priority="8">
      <formula>LEN(TRIM(D6))=0</formula>
    </cfRule>
  </conditionalFormatting>
  <conditionalFormatting sqref="D8:J8">
    <cfRule type="notContainsBlanks" dxfId="58" priority="5">
      <formula>LEN(TRIM(D8))&gt;0</formula>
    </cfRule>
  </conditionalFormatting>
  <conditionalFormatting sqref="D8:J8">
    <cfRule type="containsBlanks" dxfId="57" priority="6">
      <formula>LEN(TRIM(D8))=0</formula>
    </cfRule>
  </conditionalFormatting>
  <conditionalFormatting sqref="D10:J10">
    <cfRule type="notContainsBlanks" dxfId="56" priority="3">
      <formula>LEN(TRIM(D10))&gt;0</formula>
    </cfRule>
  </conditionalFormatting>
  <conditionalFormatting sqref="D10:J10">
    <cfRule type="containsBlanks" dxfId="55" priority="4">
      <formula>LEN(TRIM(D10))=0</formula>
    </cfRule>
  </conditionalFormatting>
  <conditionalFormatting sqref="D12:H12">
    <cfRule type="notContainsBlanks" dxfId="54" priority="1">
      <formula>LEN(TRIM(D12))&gt;0</formula>
    </cfRule>
  </conditionalFormatting>
  <conditionalFormatting sqref="D12:H12">
    <cfRule type="containsBlanks" dxfId="53" priority="2">
      <formula>LEN(TRIM(D12))=0</formula>
    </cfRule>
  </conditionalFormatting>
  <dataValidations count="8">
    <dataValidation allowBlank="1" showInputMessage="1" prompt="Automatically determined weekday" sqref="E2:J2" xr:uid="{F7FB67D4-CE51-47C5-8E28-9F069477CB6C}"/>
    <dataValidation allowBlank="1" showInputMessage="1" prompt="Automatically determined starting day of the week. To change weekdays, select a new starting day of the week in Q4 of 'JANUARY' worksheet" sqref="D2" xr:uid="{91EA408C-150B-4002-BD2A-F1FE22F8594B}"/>
    <dataValidation allowBlank="1" showInputMessage="1" prompt="Navigation link to the previous month" sqref="B14" xr:uid="{9B5F5991-7520-41E1-A34C-EB654554DF44}"/>
    <dataValidation allowBlank="1" showInputMessage="1" showErrorMessage="1" prompt="July month calendar" sqref="A1" xr:uid="{DA94E021-22B7-478F-92BA-415063E87A9C}"/>
    <dataValidation allowBlank="1" showInputMessage="1" prompt="Rows 3, 5, 7, 9, 11, and 13 contain dates of the month, including the previous and next month, if applicable" sqref="D3" xr:uid="{FC409844-24A4-4571-84F2-F0F5A79BFE2D}"/>
    <dataValidation allowBlank="1" showInputMessage="1" showErrorMessage="1" prompt="Month for this worksheet is in this cell. Calendar is in the right contains dates from previous, current, and next month." sqref="A6 A7:B7" xr:uid="{804F3B9C-5A49-4378-ACD4-84785DC65985}"/>
    <dataValidation allowBlank="1" showInputMessage="1" prompt="Enter daily notes in rows 4, 6, 8, 10, 12, and 14, columns D through J" sqref="D4" xr:uid="{C2A0C9DB-11A7-4AAF-92C5-7A79229BF1A5}"/>
    <dataValidation allowBlank="1" showInputMessage="1" showErrorMessage="1" prompt="Navigation link to the next month" sqref="B15" xr:uid="{427C8AA6-8D8B-4E08-9F35-EAC6A612F71C}"/>
  </dataValidations>
  <hyperlinks>
    <hyperlink ref="B14" location="JUNE!A1" tooltip="Navigation link to the next month" display=" &lt; JUNE" xr:uid="{7BA4C443-3C8B-4593-BF74-717D0CCC0571}"/>
    <hyperlink ref="B15" location="AUGUST!A1" display="&gt; AUGUST" xr:uid="{4F767B42-9A80-4973-9DE7-F55545D3214B}"/>
  </hyperlinks>
  <printOptions horizontalCentered="1" verticalCentered="1"/>
  <pageMargins left="0.25" right="0.25" top="0.75" bottom="0.75" header="0.3" footer="0.3"/>
  <pageSetup scale="77" orientation="landscape" horizontalDpi="4294967293" verticalDpi="200" r:id="rId1"/>
  <ignoredErrors>
    <ignoredError sqref="B2:B3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79A4B-080D-4301-80A6-5026375BF692}">
  <sheetPr codeName="Sheet9">
    <tabColor theme="7" tint="0.59999389629810485"/>
    <pageSetUpPr fitToPage="1"/>
  </sheetPr>
  <dimension ref="A1:K19"/>
  <sheetViews>
    <sheetView showGridLines="0" zoomScaleNormal="100" workbookViewId="0">
      <selection activeCell="B2" sqref="B2"/>
    </sheetView>
  </sheetViews>
  <sheetFormatPr defaultRowHeight="14.45"/>
  <cols>
    <col min="1" max="1" width="13.88671875" bestFit="1" customWidth="1"/>
    <col min="2" max="2" width="44.109375" style="117" customWidth="1"/>
    <col min="3" max="3" width="4.88671875" customWidth="1"/>
    <col min="4" max="10" width="21.21875" customWidth="1"/>
    <col min="11" max="11" width="6.109375" customWidth="1"/>
  </cols>
  <sheetData>
    <row r="1" spans="1:11" ht="38.1" customHeight="1">
      <c r="A1" s="10"/>
      <c r="B1" s="139"/>
      <c r="C1" s="4"/>
      <c r="D1" s="5"/>
      <c r="E1" s="6"/>
      <c r="F1" s="6"/>
      <c r="G1" s="6"/>
      <c r="H1" s="7"/>
      <c r="I1" s="4"/>
      <c r="J1" s="4"/>
      <c r="K1" s="4"/>
    </row>
    <row r="2" spans="1:11" ht="25.35" customHeight="1" thickBot="1">
      <c r="A2" s="139" t="s">
        <v>552</v>
      </c>
      <c r="B2" s="181">
        <f>COUNTA(' CVM'!Y4:Y62)</f>
        <v>0</v>
      </c>
      <c r="C2" s="4"/>
      <c r="D2" s="8" t="str">
        <f t="shared" ref="D2:J2" ca="1" si="0">TEXT(D3,"ddd")</f>
        <v>Mon</v>
      </c>
      <c r="E2" s="8" t="str">
        <f t="shared" ca="1" si="0"/>
        <v>Tue</v>
      </c>
      <c r="F2" s="8" t="str">
        <f t="shared" ca="1" si="0"/>
        <v>Wed</v>
      </c>
      <c r="G2" s="8" t="str">
        <f t="shared" ca="1" si="0"/>
        <v>Thu</v>
      </c>
      <c r="H2" s="8" t="str">
        <f t="shared" ca="1" si="0"/>
        <v>Fri</v>
      </c>
      <c r="I2" s="8" t="str">
        <f t="shared" ca="1" si="0"/>
        <v>Sat</v>
      </c>
      <c r="J2" s="8" t="str">
        <f t="shared" ca="1" si="0"/>
        <v>Sun</v>
      </c>
      <c r="K2" s="4"/>
    </row>
    <row r="3" spans="1:11" ht="20.45" customHeight="1">
      <c r="A3" s="139" t="s">
        <v>553</v>
      </c>
      <c r="B3" s="181">
        <f>COUNTIF(' CVM'!Z4:Z62, TRUE)</f>
        <v>0</v>
      </c>
      <c r="C3" s="4"/>
      <c r="D3" s="11">
        <f t="array" aca="1" ref="D3:J3" ca="1">DaysAndWeeks+DATE(CalendarYear,8,1)-WEEKDAY(DATE(CalendarYear,8,1),(WeekStart="Mon")+1)+1</f>
        <v>46230</v>
      </c>
      <c r="E3" s="11">
        <f ca="1"/>
        <v>46231</v>
      </c>
      <c r="F3" s="11">
        <f ca="1"/>
        <v>46232</v>
      </c>
      <c r="G3" s="11">
        <f ca="1"/>
        <v>46233</v>
      </c>
      <c r="H3" s="11">
        <f ca="1"/>
        <v>46234</v>
      </c>
      <c r="I3" s="11">
        <f ca="1"/>
        <v>46235</v>
      </c>
      <c r="J3" s="12">
        <f ca="1"/>
        <v>46236</v>
      </c>
      <c r="K3" s="4"/>
    </row>
    <row r="4" spans="1:11" ht="83.1" customHeight="1" thickBot="1">
      <c r="A4" s="209" t="s">
        <v>557</v>
      </c>
      <c r="B4" s="181"/>
      <c r="C4" s="4"/>
      <c r="D4" s="13"/>
      <c r="E4" s="13"/>
      <c r="F4" s="13"/>
      <c r="G4" s="13"/>
      <c r="H4" s="13"/>
      <c r="I4" s="87" t="str" cm="1">
        <f t="array" aca="1" ref="I4" ca="1">IFERROR(
  _xlfn.TEXTJOIN(CHAR(10), TRUE,
    _xlfn.LET(
      _xlpm.stores,
      _xlfn._xlws.FILTER(' CVM'!$E$4:$E$62, INT(' CVM'!$Y$4:$Y$62)=INT(I$3)),
      TEXT(_xlfn.SEQUENCE(ROWS(_xlpm.stores)),"0.") &amp; " " &amp; _xlpm.stores
    )
  ),
"")</f>
        <v/>
      </c>
      <c r="J4" s="14" t="str" cm="1">
        <f t="array" aca="1" ref="J4" ca="1">IFERROR(
  _xlfn.TEXTJOIN(CHAR(10), TRUE,
    _xlfn.LET(
      _xlpm.stores,
      _xlfn._xlws.FILTER(' CVM'!$E$4:$E$62, INT(' CVM'!$Y$4:$Y$62)=INT(J$3)),
      TEXT(_xlfn.SEQUENCE(ROWS(_xlpm.stores)),"0.") &amp; " " &amp; _xlpm.stores
    )
  ),
"")</f>
        <v/>
      </c>
      <c r="K4" s="4"/>
    </row>
    <row r="5" spans="1:11" ht="20.45" customHeight="1">
      <c r="A5" s="139" t="s">
        <v>559</v>
      </c>
      <c r="B5" s="181" t="s">
        <v>565</v>
      </c>
      <c r="C5" s="4"/>
      <c r="D5" s="11">
        <f t="array" aca="1" ref="D5:J5" ca="1">DaysAndWeeks+DATE(CalendarYear,8,1)-WEEKDAY(DATE(CalendarYear,8,1),(WeekStart="Mon")+1)+8</f>
        <v>46237</v>
      </c>
      <c r="E5" s="11">
        <f ca="1"/>
        <v>46238</v>
      </c>
      <c r="F5" s="11">
        <f ca="1"/>
        <v>46239</v>
      </c>
      <c r="G5" s="11">
        <f ca="1"/>
        <v>46240</v>
      </c>
      <c r="H5" s="11">
        <f ca="1"/>
        <v>46241</v>
      </c>
      <c r="I5" s="11">
        <f ca="1"/>
        <v>46242</v>
      </c>
      <c r="J5" s="12">
        <f ca="1"/>
        <v>46243</v>
      </c>
      <c r="K5" s="4"/>
    </row>
    <row r="6" spans="1:11" ht="83.1" customHeight="1" thickBot="1">
      <c r="A6" s="297" t="s">
        <v>585</v>
      </c>
      <c r="B6" s="297"/>
      <c r="C6" s="4"/>
      <c r="D6" s="87" t="str" cm="1">
        <f t="array" aca="1" ref="D6" ca="1">IFERROR(
  _xlfn.TEXTJOIN(CHAR(10), TRUE,
    _xlfn.LET(
      _xlpm.stores,
      _xlfn._xlws.FILTER(' CVM'!$E$4:$E$62, INT(' CVM'!$Y$4:$Y$62)=INT(D$5)),
      TEXT(_xlfn.SEQUENCE(ROWS(_xlpm.stores)),"0.") &amp; " " &amp; _xlpm.stores
    )
  ),
"")</f>
        <v/>
      </c>
      <c r="E6" s="87" t="str" cm="1">
        <f t="array" aca="1" ref="E6" ca="1">IFERROR(
  _xlfn.TEXTJOIN(CHAR(10), TRUE,
    _xlfn.LET(
      _xlpm.stores,
      _xlfn._xlws.FILTER(' CVM'!$E$4:$E$62, INT(' CVM'!$Y$4:$Y$62)=INT(E$5)),
      TEXT(_xlfn.SEQUENCE(ROWS(_xlpm.stores)),"0.") &amp; " " &amp; _xlpm.stores
    )
  ),
"")</f>
        <v/>
      </c>
      <c r="F6" s="87" t="str" cm="1">
        <f t="array" aca="1" ref="F6" ca="1">IFERROR(
  _xlfn.TEXTJOIN(CHAR(10), TRUE,
    _xlfn.LET(
      _xlpm.stores,
      _xlfn._xlws.FILTER(' CVM'!$E$4:$E$62, INT(' CVM'!$Y$4:$Y$62)=INT(F$5)),
      TEXT(_xlfn.SEQUENCE(ROWS(_xlpm.stores)),"0.") &amp; " " &amp; _xlpm.stores
    )
  ),
"")</f>
        <v/>
      </c>
      <c r="G6" s="87" t="str" cm="1">
        <f t="array" aca="1" ref="G6" ca="1">IFERROR(
  _xlfn.TEXTJOIN(CHAR(10), TRUE,
    _xlfn.LET(
      _xlpm.stores,
      _xlfn._xlws.FILTER(' CVM'!$E$4:$E$62, INT(' CVM'!$Y$4:$Y$62)=INT(G$5)),
      TEXT(_xlfn.SEQUENCE(ROWS(_xlpm.stores)),"0.") &amp; " " &amp; _xlpm.stores
    )
  ),
"")</f>
        <v/>
      </c>
      <c r="H6" s="87" t="str" cm="1">
        <f t="array" aca="1" ref="H6" ca="1">IFERROR(
  _xlfn.TEXTJOIN(CHAR(10), TRUE,
    _xlfn.LET(
      _xlpm.stores,
      _xlfn._xlws.FILTER(' CVM'!$E$4:$E$62, INT(' CVM'!$Y$4:$Y$62)=INT(H$5)),
      TEXT(_xlfn.SEQUENCE(ROWS(_xlpm.stores)),"0.") &amp; " " &amp; _xlpm.stores
    )
  ),
"")</f>
        <v/>
      </c>
      <c r="I6" s="87" t="str" cm="1">
        <f t="array" aca="1" ref="I6" ca="1">IFERROR(
  _xlfn.TEXTJOIN(CHAR(10), TRUE,
    _xlfn.LET(
      _xlpm.stores,
      _xlfn._xlws.FILTER(' CVM'!$E$4:$E$62, INT(' CVM'!$Y$4:$Y$62)=INT(I$5)),
      TEXT(_xlfn.SEQUENCE(ROWS(_xlpm.stores)),"0.") &amp; " " &amp; _xlpm.stores
    )
  ),
"")</f>
        <v/>
      </c>
      <c r="J6" s="14" t="str" cm="1">
        <f t="array" aca="1" ref="J6" ca="1">IFERROR(
  _xlfn.TEXTJOIN(CHAR(10), TRUE,
    _xlfn.LET(
      _xlpm.stores,
      _xlfn._xlws.FILTER(' CVM'!$E$4:$E$62, INT(' CVM'!$Y$4:$Y$62)=INT(J$5)),
      TEXT(_xlfn.SEQUENCE(ROWS(_xlpm.stores)),"0.") &amp; " " &amp; _xlpm.stores
    )
  ),
"")</f>
        <v/>
      </c>
      <c r="K6" s="4"/>
    </row>
    <row r="7" spans="1:11" ht="20.45" customHeight="1" thickBot="1">
      <c r="A7" s="180" t="s">
        <v>494</v>
      </c>
      <c r="B7" s="179"/>
      <c r="C7" s="4"/>
      <c r="D7" s="11">
        <f t="array" aca="1" ref="D7:J7" ca="1">DaysAndWeeks+DATE(CalendarYear,8,1)-WEEKDAY(DATE(CalendarYear,8,1),(WeekStart="Mon")+1)+15</f>
        <v>46244</v>
      </c>
      <c r="E7" s="11">
        <f ca="1"/>
        <v>46245</v>
      </c>
      <c r="F7" s="11">
        <f ca="1"/>
        <v>46246</v>
      </c>
      <c r="G7" s="11">
        <f ca="1"/>
        <v>46247</v>
      </c>
      <c r="H7" s="11">
        <f ca="1"/>
        <v>46248</v>
      </c>
      <c r="I7" s="11">
        <f ca="1"/>
        <v>46249</v>
      </c>
      <c r="J7" s="12">
        <f ca="1"/>
        <v>46250</v>
      </c>
      <c r="K7" s="4"/>
    </row>
    <row r="8" spans="1:11" ht="83.1" customHeight="1" thickBot="1">
      <c r="A8" s="291"/>
      <c r="B8" s="292"/>
      <c r="C8" s="4"/>
      <c r="D8" s="87" t="str" cm="1">
        <f t="array" aca="1" ref="D8" ca="1">IFERROR(
  _xlfn.TEXTJOIN(CHAR(10), TRUE,
    _xlfn.LET(
      _xlpm.stores,
      _xlfn._xlws.FILTER(' CVM'!$E$4:$E$62, INT(' CVM'!$Y$4:$Y$62)=INT(D$7)),
      TEXT(_xlfn.SEQUENCE(ROWS(_xlpm.stores)),"0.") &amp; " " &amp; _xlpm.stores
    )
  ),
"")</f>
        <v/>
      </c>
      <c r="E8" s="87" t="str" cm="1">
        <f t="array" aca="1" ref="E8" ca="1">IFERROR(
  _xlfn.TEXTJOIN(CHAR(10), TRUE,
    _xlfn.LET(
      _xlpm.stores,
      _xlfn._xlws.FILTER(' CVM'!$E$4:$E$62, INT(' CVM'!$Y$4:$Y$62)=INT(E$7)),
      TEXT(_xlfn.SEQUENCE(ROWS(_xlpm.stores)),"0.") &amp; " " &amp; _xlpm.stores
    )
  ),
"")</f>
        <v/>
      </c>
      <c r="F8" s="87" t="str" cm="1">
        <f t="array" aca="1" ref="F8" ca="1">IFERROR(
  _xlfn.TEXTJOIN(CHAR(10), TRUE,
    _xlfn.LET(
      _xlpm.stores,
      _xlfn._xlws.FILTER(' CVM'!$E$4:$E$62, INT(' CVM'!$Y$4:$Y$62)=INT(F$7)),
      TEXT(_xlfn.SEQUENCE(ROWS(_xlpm.stores)),"0.") &amp; " " &amp; _xlpm.stores
    )
  ),
"")</f>
        <v/>
      </c>
      <c r="G8" s="87" t="str" cm="1">
        <f t="array" aca="1" ref="G8" ca="1">IFERROR(
  _xlfn.TEXTJOIN(CHAR(10), TRUE,
    _xlfn.LET(
      _xlpm.stores,
      _xlfn._xlws.FILTER(' CVM'!$E$4:$E$62, INT(' CVM'!$Y$4:$Y$62)=INT(G$7)),
      TEXT(_xlfn.SEQUENCE(ROWS(_xlpm.stores)),"0.") &amp; " " &amp; _xlpm.stores
    )
  ),
"")</f>
        <v/>
      </c>
      <c r="H8" s="87" t="str" cm="1">
        <f t="array" aca="1" ref="H8" ca="1">IFERROR(
  _xlfn.TEXTJOIN(CHAR(10), TRUE,
    _xlfn.LET(
      _xlpm.stores,
      _xlfn._xlws.FILTER(' CVM'!$E$4:$E$62, INT(' CVM'!$Y$4:$Y$62)=INT(H$7)),
      TEXT(_xlfn.SEQUENCE(ROWS(_xlpm.stores)),"0.") &amp; " " &amp; _xlpm.stores
    )
  ),
"")</f>
        <v/>
      </c>
      <c r="I8" s="87" t="str" cm="1">
        <f t="array" aca="1" ref="I8" ca="1">IFERROR(
  _xlfn.TEXTJOIN(CHAR(10), TRUE,
    _xlfn.LET(
      _xlpm.stores,
      _xlfn._xlws.FILTER(' CVM'!$E$4:$E$62, INT(' CVM'!$Y$4:$Y$62)=INT(I$7)),
      TEXT(_xlfn.SEQUENCE(ROWS(_xlpm.stores)),"0.") &amp; " " &amp; _xlpm.stores
    )
  ),
"")</f>
        <v/>
      </c>
      <c r="J8" s="14" t="str" cm="1">
        <f t="array" aca="1" ref="J8" ca="1">IFERROR(
  _xlfn.TEXTJOIN(CHAR(10), TRUE,
    _xlfn.LET(
      _xlpm.stores,
      _xlfn._xlws.FILTER(' CVM'!$E$4:$E$62, INT(' CVM'!$Y$4:$Y$62)=INT(J$7)),
      TEXT(_xlfn.SEQUENCE(ROWS(_xlpm.stores)),"0.") &amp; " " &amp; _xlpm.stores
    )
  ),
"")</f>
        <v/>
      </c>
      <c r="K8" s="4"/>
    </row>
    <row r="9" spans="1:11" ht="20.45" customHeight="1">
      <c r="A9" s="293"/>
      <c r="B9" s="294"/>
      <c r="C9" s="4"/>
      <c r="D9" s="11">
        <f t="array" aca="1" ref="D9:J9" ca="1">DaysAndWeeks+DATE(CalendarYear,8,1)-WEEKDAY(DATE(CalendarYear,8,1),(WeekStart="Mon")+1)+22</f>
        <v>46251</v>
      </c>
      <c r="E9" s="11">
        <f ca="1"/>
        <v>46252</v>
      </c>
      <c r="F9" s="11">
        <f ca="1"/>
        <v>46253</v>
      </c>
      <c r="G9" s="11">
        <f ca="1"/>
        <v>46254</v>
      </c>
      <c r="H9" s="11">
        <f ca="1"/>
        <v>46255</v>
      </c>
      <c r="I9" s="11">
        <f ca="1"/>
        <v>46256</v>
      </c>
      <c r="J9" s="12">
        <f ca="1"/>
        <v>46257</v>
      </c>
      <c r="K9" s="4"/>
    </row>
    <row r="10" spans="1:11" ht="83.1" customHeight="1" thickBot="1">
      <c r="A10" s="293"/>
      <c r="B10" s="294"/>
      <c r="C10" s="4"/>
      <c r="D10" s="87" t="str" cm="1">
        <f t="array" aca="1" ref="D10" ca="1">IFERROR(
  _xlfn.TEXTJOIN(CHAR(10), TRUE,
    _xlfn.LET(
      _xlpm.stores,
      _xlfn._xlws.FILTER(' CVM'!$E$4:$E$62, INT(' CVM'!$Y$4:$Y$62)=INT(D$9)),
      TEXT(_xlfn.SEQUENCE(ROWS(_xlpm.stores)),"0.") &amp; " " &amp; _xlpm.stores
    )
  ),
"")</f>
        <v/>
      </c>
      <c r="E10" s="87" t="str" cm="1">
        <f t="array" aca="1" ref="E10" ca="1">IFERROR(
  _xlfn.TEXTJOIN(CHAR(10), TRUE,
    _xlfn.LET(
      _xlpm.stores,
      _xlfn._xlws.FILTER(' CVM'!$E$4:$E$62, INT(' CVM'!$Y$4:$Y$62)=INT(E$9)),
      TEXT(_xlfn.SEQUENCE(ROWS(_xlpm.stores)),"0.") &amp; " " &amp; _xlpm.stores
    )
  ),
"")</f>
        <v/>
      </c>
      <c r="F10" s="87" t="str" cm="1">
        <f t="array" aca="1" ref="F10" ca="1">IFERROR(
  _xlfn.TEXTJOIN(CHAR(10), TRUE,
    _xlfn.LET(
      _xlpm.stores,
      _xlfn._xlws.FILTER(' CVM'!$E$4:$E$62, INT(' CVM'!$Y$4:$Y$62)=INT(F$9)),
      TEXT(_xlfn.SEQUENCE(ROWS(_xlpm.stores)),"0.") &amp; " " &amp; _xlpm.stores
    )
  ),
"")</f>
        <v/>
      </c>
      <c r="G10" s="87" t="str" cm="1">
        <f t="array" aca="1" ref="G10" ca="1">IFERROR(
  _xlfn.TEXTJOIN(CHAR(10), TRUE,
    _xlfn.LET(
      _xlpm.stores,
      _xlfn._xlws.FILTER(' CVM'!$E$4:$E$62, INT(' CVM'!$Y$4:$Y$62)=INT(G$9)),
      TEXT(_xlfn.SEQUENCE(ROWS(_xlpm.stores)),"0.") &amp; " " &amp; _xlpm.stores
    )
  ),
"")</f>
        <v/>
      </c>
      <c r="H10" s="87" t="str" cm="1">
        <f t="array" aca="1" ref="H10" ca="1">IFERROR(
  _xlfn.TEXTJOIN(CHAR(10), TRUE,
    _xlfn.LET(
      _xlpm.stores,
      _xlfn._xlws.FILTER(' CVM'!$E$4:$E$62, INT(' CVM'!$Y$4:$Y$62)=INT(H$9)),
      TEXT(_xlfn.SEQUENCE(ROWS(_xlpm.stores)),"0.") &amp; " " &amp; _xlpm.stores
    )
  ),
"")</f>
        <v/>
      </c>
      <c r="I10" s="87" t="str" cm="1">
        <f t="array" aca="1" ref="I10" ca="1">IFERROR(
  _xlfn.TEXTJOIN(CHAR(10), TRUE,
    _xlfn.LET(
      _xlpm.stores,
      _xlfn._xlws.FILTER(' CVM'!$E$4:$E$62, INT(' CVM'!$Y$4:$Y$62)=INT(I$9)),
      TEXT(_xlfn.SEQUENCE(ROWS(_xlpm.stores)),"0.") &amp; " " &amp; _xlpm.stores
    )
  ),
"")</f>
        <v/>
      </c>
      <c r="J10" s="14" t="str" cm="1">
        <f t="array" aca="1" ref="J10" ca="1">IFERROR(
  _xlfn.TEXTJOIN(CHAR(10), TRUE,
    _xlfn.LET(
      _xlpm.stores,
      _xlfn._xlws.FILTER(' CVM'!$E$4:$E$62, INT(' CVM'!$Y$4:$Y$62)=INT(J$9)),
      TEXT(_xlfn.SEQUENCE(ROWS(_xlpm.stores)),"0.") &amp; " " &amp; _xlpm.stores
    )
  ),
"")</f>
        <v/>
      </c>
      <c r="K10" s="4"/>
    </row>
    <row r="11" spans="1:11" ht="20.45" customHeight="1">
      <c r="A11" s="293"/>
      <c r="B11" s="294"/>
      <c r="C11" s="4"/>
      <c r="D11" s="11">
        <f t="array" aca="1" ref="D11:J11" ca="1">DaysAndWeeks+DATE(CalendarYear,8,1)-WEEKDAY(DATE(CalendarYear,8,1),(WeekStart="Mon")+1)+29</f>
        <v>46258</v>
      </c>
      <c r="E11" s="11">
        <f ca="1"/>
        <v>46259</v>
      </c>
      <c r="F11" s="11">
        <f ca="1"/>
        <v>46260</v>
      </c>
      <c r="G11" s="11">
        <f ca="1"/>
        <v>46261</v>
      </c>
      <c r="H11" s="11">
        <f ca="1"/>
        <v>46262</v>
      </c>
      <c r="I11" s="11">
        <f ca="1"/>
        <v>46263</v>
      </c>
      <c r="J11" s="12">
        <f ca="1"/>
        <v>46264</v>
      </c>
      <c r="K11" s="4"/>
    </row>
    <row r="12" spans="1:11" ht="83.1" customHeight="1" thickBot="1">
      <c r="A12" s="293"/>
      <c r="B12" s="294"/>
      <c r="C12" s="4"/>
      <c r="D12" s="87" t="str" cm="1">
        <f t="array" aca="1" ref="D12" ca="1">IFERROR(
  _xlfn.TEXTJOIN(CHAR(10), TRUE,
    _xlfn.LET(
      _xlpm.stores,
      _xlfn._xlws.FILTER(' CVM'!$E$4:$E$62, INT(' CVM'!$Y$4:$Y$62)=INT(D$11)),
      TEXT(_xlfn.SEQUENCE(ROWS(_xlpm.stores)),"0.") &amp; " " &amp; _xlpm.stores
    )
  ),
"")</f>
        <v/>
      </c>
      <c r="E12" s="87" t="str" cm="1">
        <f t="array" aca="1" ref="E12" ca="1">IFERROR(
  _xlfn.TEXTJOIN(CHAR(10), TRUE,
    _xlfn.LET(
      _xlpm.stores,
      _xlfn._xlws.FILTER(' CVM'!$E$4:$E$62, INT(' CVM'!$Y$4:$Y$62)=INT(E$11)),
      TEXT(_xlfn.SEQUENCE(ROWS(_xlpm.stores)),"0.") &amp; " " &amp; _xlpm.stores
    )
  ),
"")</f>
        <v/>
      </c>
      <c r="F12" s="87" t="str" cm="1">
        <f t="array" aca="1" ref="F12" ca="1">IFERROR(
  _xlfn.TEXTJOIN(CHAR(10), TRUE,
    _xlfn.LET(
      _xlpm.stores,
      _xlfn._xlws.FILTER(' CVM'!$E$4:$E$62, INT(' CVM'!$Y$4:$Y$62)=INT(F$11)),
      TEXT(_xlfn.SEQUENCE(ROWS(_xlpm.stores)),"0.") &amp; " " &amp; _xlpm.stores
    )
  ),
"")</f>
        <v/>
      </c>
      <c r="G12" s="87" t="str" cm="1">
        <f t="array" aca="1" ref="G12" ca="1">IFERROR(
  _xlfn.TEXTJOIN(CHAR(10), TRUE,
    _xlfn.LET(
      _xlpm.stores,
      _xlfn._xlws.FILTER(' CVM'!$E$4:$E$62, INT(' CVM'!$Y$4:$Y$62)=INT(G$11)),
      TEXT(_xlfn.SEQUENCE(ROWS(_xlpm.stores)),"0.") &amp; " " &amp; _xlpm.stores
    )
  ),
"")</f>
        <v/>
      </c>
      <c r="H12" s="87" t="str" cm="1">
        <f t="array" aca="1" ref="H12" ca="1">IFERROR(
  _xlfn.TEXTJOIN(CHAR(10), TRUE,
    _xlfn.LET(
      _xlpm.stores,
      _xlfn._xlws.FILTER(' CVM'!$E$4:$E$62, INT(' CVM'!$Y$4:$Y$62)=INT(H$11)),
      TEXT(_xlfn.SEQUENCE(ROWS(_xlpm.stores)),"0.") &amp; " " &amp; _xlpm.stores
    )
  ),
"")</f>
        <v/>
      </c>
      <c r="I12" s="87" t="str" cm="1">
        <f t="array" aca="1" ref="I12" ca="1">IFERROR(
  _xlfn.TEXTJOIN(CHAR(10), TRUE,
    _xlfn.LET(
      _xlpm.stores,
      _xlfn._xlws.FILTER(' CVM'!$E$4:$E$62, INT(' CVM'!$Y$4:$Y$62)=INT(I$11)),
      TEXT(_xlfn.SEQUENCE(ROWS(_xlpm.stores)),"0.") &amp; " " &amp; _xlpm.stores
    )
  ),
"")</f>
        <v/>
      </c>
      <c r="J12" s="14" t="str" cm="1">
        <f t="array" aca="1" ref="J12" ca="1">IFERROR(
  _xlfn.TEXTJOIN(CHAR(10), TRUE,
    _xlfn.LET(
      _xlpm.stores,
      _xlfn._xlws.FILTER(' CVM'!$E$4:$E$62, INT(' CVM'!$Y$4:$Y$62)=INT(J$11)),
      TEXT(_xlfn.SEQUENCE(ROWS(_xlpm.stores)),"0.") &amp; " " &amp; _xlpm.stores
    )
  ),
"")</f>
        <v/>
      </c>
      <c r="K12" s="4"/>
    </row>
    <row r="13" spans="1:11" ht="20.45" customHeight="1">
      <c r="A13" s="293"/>
      <c r="B13" s="294"/>
      <c r="C13" s="4"/>
      <c r="D13" s="11">
        <f t="array" aca="1" ref="D13:J13" ca="1">DaysAndWeeks+DATE(CalendarYear,8,1)-WEEKDAY(DATE(CalendarYear,8,1),(WeekStart="Mon")+1)+36</f>
        <v>46265</v>
      </c>
      <c r="E13" s="11">
        <f ca="1"/>
        <v>46266</v>
      </c>
      <c r="F13" s="11">
        <f ca="1"/>
        <v>46267</v>
      </c>
      <c r="G13" s="11">
        <f ca="1"/>
        <v>46268</v>
      </c>
      <c r="H13" s="11">
        <f ca="1"/>
        <v>46269</v>
      </c>
      <c r="I13" s="11">
        <f ca="1"/>
        <v>46270</v>
      </c>
      <c r="J13" s="12">
        <f ca="1"/>
        <v>46271</v>
      </c>
      <c r="K13" s="4"/>
    </row>
    <row r="14" spans="1:11" ht="83.1" customHeight="1" thickBot="1">
      <c r="A14" s="295"/>
      <c r="B14" s="296"/>
      <c r="C14" s="4"/>
      <c r="D14" s="87" t="str" cm="1">
        <f t="array" aca="1" ref="D14" ca="1">IFERROR(
  _xlfn.TEXTJOIN(CHAR(10), TRUE,
    _xlfn.LET(
      _xlpm.stores,
      _xlfn._xlws.FILTER(' CVM'!$E$4:$E$62, INT(' CVM'!$Y$4:$Y$62)=INT(D$13)),
      TEXT(_xlfn.SEQUENCE(ROWS(_xlpm.stores)),"0.") &amp; " " &amp; _xlpm.stores
    )
  ),
"")</f>
        <v/>
      </c>
      <c r="E14" s="74"/>
      <c r="F14" s="74"/>
      <c r="G14" s="74"/>
      <c r="H14" s="74"/>
      <c r="I14" s="74"/>
      <c r="J14" s="75"/>
      <c r="K14" s="4"/>
    </row>
    <row r="15" spans="1:11" ht="22.5" customHeight="1">
      <c r="A15" s="9"/>
      <c r="B15" s="141" t="s">
        <v>586</v>
      </c>
      <c r="C15" s="4"/>
      <c r="D15" s="4"/>
      <c r="E15" s="4"/>
      <c r="F15" s="4"/>
      <c r="G15" s="4"/>
      <c r="H15" s="4"/>
      <c r="I15" s="4"/>
      <c r="J15" s="4"/>
      <c r="K15" s="4"/>
    </row>
    <row r="16" spans="1:11" ht="15" customHeight="1">
      <c r="A16" s="9"/>
      <c r="B16" s="142"/>
      <c r="C16" s="3"/>
      <c r="D16" s="3"/>
      <c r="E16" s="3"/>
      <c r="F16" s="3"/>
      <c r="G16" s="3"/>
      <c r="H16" s="3"/>
      <c r="I16" s="3"/>
      <c r="J16" s="3"/>
      <c r="K16" s="3"/>
    </row>
    <row r="17" ht="49.5" customHeight="1"/>
    <row r="19" ht="17.850000000000001" customHeight="1"/>
  </sheetData>
  <sheetProtection selectLockedCells="1" sort="0" autoFilter="0"/>
  <mergeCells count="2">
    <mergeCell ref="A6:B6"/>
    <mergeCell ref="A8:B14"/>
  </mergeCells>
  <conditionalFormatting sqref="D3:J3">
    <cfRule type="expression" dxfId="52" priority="21">
      <formula>DAY(D3)&gt;8</formula>
    </cfRule>
  </conditionalFormatting>
  <conditionalFormatting sqref="D4:H4">
    <cfRule type="expression" dxfId="51" priority="22">
      <formula>DAY(D3)&gt;8</formula>
    </cfRule>
  </conditionalFormatting>
  <conditionalFormatting sqref="D13:J13 E14:J14">
    <cfRule type="expression" dxfId="50" priority="20">
      <formula>AND(DAY(D12)&gt;=1,DAY(D12)&lt;=15)</formula>
    </cfRule>
  </conditionalFormatting>
  <conditionalFormatting sqref="D6:I6">
    <cfRule type="notContainsBlanks" dxfId="49" priority="12">
      <formula>LEN(TRIM(D6))&gt;0</formula>
    </cfRule>
  </conditionalFormatting>
  <conditionalFormatting sqref="I4">
    <cfRule type="notContainsBlanks" dxfId="48" priority="7">
      <formula>LEN(TRIM(I4))&gt;0</formula>
    </cfRule>
  </conditionalFormatting>
  <conditionalFormatting sqref="D8:I8">
    <cfRule type="notContainsBlanks" dxfId="47" priority="6">
      <formula>LEN(TRIM(D8))&gt;0</formula>
    </cfRule>
  </conditionalFormatting>
  <conditionalFormatting sqref="D10:I10">
    <cfRule type="notContainsBlanks" dxfId="46" priority="5">
      <formula>LEN(TRIM(D10))&gt;0</formula>
    </cfRule>
  </conditionalFormatting>
  <conditionalFormatting sqref="D12:I12">
    <cfRule type="notContainsBlanks" dxfId="45" priority="2">
      <formula>LEN(TRIM(D12))&gt;0</formula>
    </cfRule>
  </conditionalFormatting>
  <conditionalFormatting sqref="D14">
    <cfRule type="notContainsBlanks" dxfId="44" priority="1">
      <formula>LEN(TRIM(D14))&gt;0</formula>
    </cfRule>
  </conditionalFormatting>
  <dataValidations count="8">
    <dataValidation allowBlank="1" showInputMessage="1" prompt="Automatically determined weekday" sqref="E2:J2" xr:uid="{8C40594D-AFBA-4EC3-A87B-AA374247A698}"/>
    <dataValidation allowBlank="1" showInputMessage="1" prompt="Automatically determined starting day of the week. To change weekdays, select a new starting day of the week in Q4 of 'JANUARY' worksheet" sqref="D2" xr:uid="{9A469ECC-8A1D-4BF9-9678-59A5A6F5B23B}"/>
    <dataValidation allowBlank="1" showInputMessage="1" prompt="Calendar year, automatically determined by the year set in P4 of the January worksheet" sqref="A6" xr:uid="{CC6274D2-8A84-4D68-A308-578FDE18A50E}"/>
    <dataValidation allowBlank="1" showInputMessage="1" showErrorMessage="1" prompt="August month calendar" sqref="A1" xr:uid="{9FA36242-F775-4156-BFCB-35D8E6F93EE1}"/>
    <dataValidation allowBlank="1" showInputMessage="1" showErrorMessage="1" prompt="Navigation link to the next month" sqref="B15" xr:uid="{735BFF1F-D114-489A-A87C-9F586636FF49}"/>
    <dataValidation allowBlank="1" showInputMessage="1" prompt="Enter daily notes in rows 4, 6, 8, 10, 12, and 14, columns D through J" sqref="D4" xr:uid="{F2C6B789-7A6F-4CD6-A3CB-B09DBD2F8FAA}"/>
    <dataValidation allowBlank="1" showInputMessage="1" showErrorMessage="1" prompt="Month for this worksheet is in this cell. Calendar is in the right contains dates from previous, current, and next month." sqref="B7" xr:uid="{1AE65438-0807-43C6-9813-FA89794E1AE7}"/>
    <dataValidation allowBlank="1" showInputMessage="1" prompt="Rows 3, 5, 7, 9, 11, and 13 contain dates of the month, including the previous and next month, if applicable" sqref="D3" xr:uid="{51C6D9E5-A65B-4D88-B3B3-6DA1EB9421A6}"/>
  </dataValidations>
  <hyperlinks>
    <hyperlink ref="B15" location="SEPTEMBER!A1" display="&gt; SEPTEMBER" xr:uid="{2E9C722B-8085-4D8F-BD9B-3B1744F687C3}"/>
  </hyperlinks>
  <printOptions horizontalCentered="1" verticalCentered="1"/>
  <pageMargins left="0.25" right="0.25" top="0.75" bottom="0.75" header="0.3" footer="0.3"/>
  <pageSetup scale="77" orientation="landscape" horizontalDpi="4294967293" verticalDpi="200" r:id="rId1"/>
  <ignoredErrors>
    <ignoredError sqref="B2:B3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BC6EF-4E18-41BB-9F73-93A896B0BD90}">
  <sheetPr codeName="Sheet10">
    <tabColor theme="4" tint="0.59999389629810485"/>
    <pageSetUpPr fitToPage="1"/>
  </sheetPr>
  <dimension ref="A1:K19"/>
  <sheetViews>
    <sheetView showGridLines="0" zoomScaleNormal="100" workbookViewId="0">
      <selection activeCell="B2" sqref="B2"/>
    </sheetView>
  </sheetViews>
  <sheetFormatPr defaultRowHeight="14.45"/>
  <cols>
    <col min="1" max="1" width="13.88671875" bestFit="1" customWidth="1"/>
    <col min="2" max="2" width="39.21875" style="117" customWidth="1"/>
    <col min="3" max="3" width="4.88671875" customWidth="1"/>
    <col min="4" max="10" width="21.6640625" customWidth="1"/>
    <col min="11" max="11" width="4.88671875" customWidth="1"/>
  </cols>
  <sheetData>
    <row r="1" spans="1:11" ht="38.1" customHeight="1">
      <c r="A1" s="15"/>
      <c r="B1" s="144"/>
      <c r="C1" s="59"/>
      <c r="D1" s="60"/>
      <c r="E1" s="61"/>
      <c r="F1" s="61"/>
      <c r="G1" s="62"/>
      <c r="H1" s="63"/>
      <c r="I1" s="59"/>
      <c r="J1" s="59"/>
      <c r="K1" s="59"/>
    </row>
    <row r="2" spans="1:11" ht="25.35" customHeight="1" thickBot="1">
      <c r="A2" s="15" t="s">
        <v>552</v>
      </c>
      <c r="B2" s="144">
        <f>COUNTA(' CVM'!AA4:AA879)</f>
        <v>0</v>
      </c>
      <c r="C2" s="59"/>
      <c r="D2" s="64" t="str">
        <f t="shared" ref="D2:J2" ca="1" si="0">TEXT(D3,"ddd")</f>
        <v>Mon</v>
      </c>
      <c r="E2" s="64" t="str">
        <f t="shared" ca="1" si="0"/>
        <v>Tue</v>
      </c>
      <c r="F2" s="64" t="str">
        <f t="shared" ca="1" si="0"/>
        <v>Wed</v>
      </c>
      <c r="G2" s="64" t="str">
        <f t="shared" ca="1" si="0"/>
        <v>Thu</v>
      </c>
      <c r="H2" s="64" t="str">
        <f t="shared" ca="1" si="0"/>
        <v>Fri</v>
      </c>
      <c r="I2" s="64" t="str">
        <f t="shared" ca="1" si="0"/>
        <v>Sat</v>
      </c>
      <c r="J2" s="64" t="str">
        <f t="shared" ca="1" si="0"/>
        <v>Sun</v>
      </c>
      <c r="K2" s="59"/>
    </row>
    <row r="3" spans="1:11" ht="20.45" customHeight="1">
      <c r="A3" s="15" t="s">
        <v>553</v>
      </c>
      <c r="B3" s="144">
        <f>COUNTIF(' CVM'!AB4:AB62, TRUE)</f>
        <v>0</v>
      </c>
      <c r="C3" s="59"/>
      <c r="D3" s="67">
        <f t="array" aca="1" ref="D3:J3" ca="1">DaysAndWeeks+DATE(CalendarYear,9,1)-WEEKDAY(DATE(CalendarYear,9,1),(WeekStart="Mon")+1)+1</f>
        <v>46265</v>
      </c>
      <c r="E3" s="67">
        <f ca="1"/>
        <v>46266</v>
      </c>
      <c r="F3" s="67">
        <f ca="1"/>
        <v>46267</v>
      </c>
      <c r="G3" s="67">
        <f ca="1"/>
        <v>46268</v>
      </c>
      <c r="H3" s="67">
        <f ca="1"/>
        <v>46269</v>
      </c>
      <c r="I3" s="67">
        <f ca="1"/>
        <v>46270</v>
      </c>
      <c r="J3" s="67">
        <f ca="1"/>
        <v>46271</v>
      </c>
      <c r="K3" s="59"/>
    </row>
    <row r="4" spans="1:11" ht="83.1" customHeight="1" thickBot="1">
      <c r="A4" s="208" t="s">
        <v>557</v>
      </c>
      <c r="B4" s="183"/>
      <c r="C4" s="59"/>
      <c r="D4" s="66"/>
      <c r="E4" s="88" t="str" cm="1">
        <f t="array" aca="1" ref="E4" ca="1">IFERROR(
  _xlfn.TEXTJOIN(CHAR(10), TRUE,
    _xlfn.LET(
      _xlpm.stores,
      _xlfn._xlws.FILTER(' CVM'!$E$4:$E$62, INT(' CVM'!$AA$4:$AA$62)=INT(E$3)),
      TEXT(_xlfn.SEQUENCE(ROWS(_xlpm.stores)),"0.") &amp; " " &amp; _xlpm.stores
    )
  ),
"")</f>
        <v/>
      </c>
      <c r="F4" s="88" t="str" cm="1">
        <f t="array" aca="1" ref="F4" ca="1">IFERROR(
  _xlfn.TEXTJOIN(CHAR(10), TRUE,
    _xlfn.LET(
      _xlpm.stores,
      _xlfn._xlws.FILTER(' CVM'!$E$4:$E$62, INT(' CVM'!$AA$4:$AA$62)=INT(F$3)),
      TEXT(_xlfn.SEQUENCE(ROWS(_xlpm.stores)),"0.") &amp; " " &amp; _xlpm.stores
    )
  ),
"")</f>
        <v/>
      </c>
      <c r="G4" s="88" t="str" cm="1">
        <f t="array" aca="1" ref="G4" ca="1">IFERROR(
  _xlfn.TEXTJOIN(CHAR(10), TRUE,
    _xlfn.LET(
      _xlpm.stores,
      _xlfn._xlws.FILTER(' CVM'!$E$4:$E$62, INT(' CVM'!$AA$4:$AA$62)=INT(G$3)),
      TEXT(_xlfn.SEQUENCE(ROWS(_xlpm.stores)),"0.") &amp; " " &amp; _xlpm.stores
    )
  ),
"")</f>
        <v/>
      </c>
      <c r="H4" s="88" t="str" cm="1">
        <f t="array" aca="1" ref="H4" ca="1">IFERROR(
  _xlfn.TEXTJOIN(CHAR(10), TRUE,
    _xlfn.LET(
      _xlpm.stores,
      _xlfn._xlws.FILTER(' CVM'!$E$4:$E$62, INT(' CVM'!$AA$4:$AA$62)=INT(H$3)),
      TEXT(_xlfn.SEQUENCE(ROWS(_xlpm.stores)),"0.") &amp; " " &amp; _xlpm.stores
    )
  ),
"")</f>
        <v/>
      </c>
      <c r="I4" s="88" t="str" cm="1">
        <f t="array" aca="1" ref="I4" ca="1">IFERROR(
  _xlfn.TEXTJOIN(CHAR(10), TRUE,
    _xlfn.LET(
      _xlpm.stores,
      _xlfn._xlws.FILTER(' CVM'!$E$4:$E$62, INT(' CVM'!$AA$4:$AA$62)=INT(I$3)),
      TEXT(_xlfn.SEQUENCE(ROWS(_xlpm.stores)),"0.") &amp; " " &amp; _xlpm.stores
    )
  ),
"")</f>
        <v/>
      </c>
      <c r="J4" s="88" t="str" cm="1">
        <f t="array" aca="1" ref="J4" ca="1">IFERROR(
  _xlfn.TEXTJOIN(CHAR(10), TRUE,
    _xlfn.LET(
      _xlpm.stores,
      _xlfn._xlws.FILTER(' CVM'!$E$4:$E$62, INT(' CVM'!$AA$4:$AA$62)=INT(J$3)),
      TEXT(_xlfn.SEQUENCE(ROWS(_xlpm.stores)),"0.") &amp; " " &amp; _xlpm.stores
    )
  ),
"")</f>
        <v/>
      </c>
      <c r="K4" s="59"/>
    </row>
    <row r="5" spans="1:11" ht="20.45" customHeight="1">
      <c r="A5" s="15" t="s">
        <v>559</v>
      </c>
      <c r="B5" s="211">
        <v>46290</v>
      </c>
      <c r="C5" s="59"/>
      <c r="D5" s="65">
        <f t="array" aca="1" ref="D5:J5" ca="1">DaysAndWeeks+DATE(CalendarYear,9,1)-WEEKDAY(DATE(CalendarYear,9,1),(WeekStart="Mon")+1)+8</f>
        <v>46272</v>
      </c>
      <c r="E5" s="65">
        <f ca="1"/>
        <v>46273</v>
      </c>
      <c r="F5" s="65">
        <f ca="1"/>
        <v>46274</v>
      </c>
      <c r="G5" s="65">
        <f ca="1"/>
        <v>46275</v>
      </c>
      <c r="H5" s="65">
        <f ca="1"/>
        <v>46276</v>
      </c>
      <c r="I5" s="65">
        <f ca="1"/>
        <v>46277</v>
      </c>
      <c r="J5" s="65">
        <f ca="1"/>
        <v>46278</v>
      </c>
      <c r="K5" s="59"/>
    </row>
    <row r="6" spans="1:11" ht="83.1" customHeight="1" thickBot="1">
      <c r="A6" s="304" t="s">
        <v>587</v>
      </c>
      <c r="B6" s="304"/>
      <c r="C6" s="59"/>
      <c r="D6" s="88" t="str" cm="1">
        <f t="array" aca="1" ref="D6" ca="1">IFERROR(
  _xlfn.TEXTJOIN(CHAR(10), TRUE,
    _xlfn.LET(
      _xlpm.stores,
      _xlfn._xlws.FILTER(' CVM'!$E$4:$E$62, INT(' CVM'!$AA$4:$AA$62)=INT(D$5)),
      TEXT(_xlfn.SEQUENCE(ROWS(_xlpm.stores)),"0.") &amp; " " &amp; _xlpm.stores
    )
  ),
"")</f>
        <v/>
      </c>
      <c r="E6" s="88" t="str" cm="1">
        <f t="array" aca="1" ref="E6" ca="1">IFERROR(
  _xlfn.TEXTJOIN(CHAR(10), TRUE,
    _xlfn.LET(
      _xlpm.stores,
      _xlfn._xlws.FILTER(' CVM'!$E$4:$E$62, INT(' CVM'!$AA$4:$AA$62)=INT(E$5)),
      TEXT(_xlfn.SEQUENCE(ROWS(_xlpm.stores)),"0.") &amp; " " &amp; _xlpm.stores
    )
  ),
"")</f>
        <v/>
      </c>
      <c r="F6" s="88" t="str" cm="1">
        <f t="array" aca="1" ref="F6" ca="1">IFERROR(
  _xlfn.TEXTJOIN(CHAR(10), TRUE,
    _xlfn.LET(
      _xlpm.stores,
      _xlfn._xlws.FILTER(' CVM'!$E$4:$E$62, INT(' CVM'!$AA$4:$AA$62)=INT(F$5)),
      TEXT(_xlfn.SEQUENCE(ROWS(_xlpm.stores)),"0.") &amp; " " &amp; _xlpm.stores
    )
  ),
"")</f>
        <v/>
      </c>
      <c r="G6" s="88" t="str" cm="1">
        <f t="array" aca="1" ref="G6" ca="1">IFERROR(
  _xlfn.TEXTJOIN(CHAR(10), TRUE,
    _xlfn.LET(
      _xlpm.stores,
      _xlfn._xlws.FILTER(' CVM'!$E$4:$E$62, INT(' CVM'!$AA$4:$AA$62)=INT(G$5)),
      TEXT(_xlfn.SEQUENCE(ROWS(_xlpm.stores)),"0.") &amp; " " &amp; _xlpm.stores
    )
  ),
"")</f>
        <v/>
      </c>
      <c r="H6" s="88" t="str" cm="1">
        <f t="array" aca="1" ref="H6" ca="1">IFERROR(
  _xlfn.TEXTJOIN(CHAR(10), TRUE,
    _xlfn.LET(
      _xlpm.stores,
      _xlfn._xlws.FILTER(' CVM'!$E$4:$E$62, INT(' CVM'!$AA$4:$AA$62)=INT(H$5)),
      TEXT(_xlfn.SEQUENCE(ROWS(_xlpm.stores)),"0.") &amp; " " &amp; _xlpm.stores
    )
  ),
"")</f>
        <v/>
      </c>
      <c r="I6" s="88" t="str" cm="1">
        <f t="array" aca="1" ref="I6" ca="1">IFERROR(
  _xlfn.TEXTJOIN(CHAR(10), TRUE,
    _xlfn.LET(
      _xlpm.stores,
      _xlfn._xlws.FILTER(' CVM'!$E$4:$E$62, INT(' CVM'!$AA$4:$AA$62)=INT(I$5)),
      TEXT(_xlfn.SEQUENCE(ROWS(_xlpm.stores)),"0.") &amp; " " &amp; _xlpm.stores
    )
  ),
"")</f>
        <v/>
      </c>
      <c r="J6" s="88" t="str" cm="1">
        <f t="array" aca="1" ref="J6" ca="1">IFERROR(
  _xlfn.TEXTJOIN(CHAR(10), TRUE,
    _xlfn.LET(
      _xlpm.stores,
      _xlfn._xlws.FILTER(' CVM'!$E$4:$E$62, INT(' CVM'!$AA$4:$AA$62)=INT(J$5)),
      TEXT(_xlfn.SEQUENCE(ROWS(_xlpm.stores)),"0.") &amp; " " &amp; _xlpm.stores
    )
  ),
"")</f>
        <v/>
      </c>
      <c r="K6" s="59"/>
    </row>
    <row r="7" spans="1:11" ht="20.45" customHeight="1">
      <c r="A7" s="178" t="s">
        <v>494</v>
      </c>
      <c r="B7" s="145"/>
      <c r="C7" s="59"/>
      <c r="D7" s="65">
        <f t="array" aca="1" ref="D7:J7" ca="1">DaysAndWeeks+DATE(CalendarYear,9,1)-WEEKDAY(DATE(CalendarYear,9,1),(WeekStart="Mon")+1)+15</f>
        <v>46279</v>
      </c>
      <c r="E7" s="65">
        <f ca="1"/>
        <v>46280</v>
      </c>
      <c r="F7" s="65">
        <f ca="1"/>
        <v>46281</v>
      </c>
      <c r="G7" s="65">
        <f ca="1"/>
        <v>46282</v>
      </c>
      <c r="H7" s="65">
        <f ca="1"/>
        <v>46283</v>
      </c>
      <c r="I7" s="65">
        <f ca="1"/>
        <v>46284</v>
      </c>
      <c r="J7" s="65">
        <f ca="1"/>
        <v>46285</v>
      </c>
      <c r="K7" s="59"/>
    </row>
    <row r="8" spans="1:11" ht="83.1" customHeight="1" thickBot="1">
      <c r="A8" s="2"/>
      <c r="B8" s="146"/>
      <c r="C8" s="59"/>
      <c r="D8" s="88" t="str" cm="1">
        <f t="array" aca="1" ref="D8" ca="1">IFERROR(
  _xlfn.TEXTJOIN(CHAR(10), TRUE,
    _xlfn.LET(
      _xlpm.stores,
      _xlfn._xlws.FILTER(' CVM'!$E$4:$E$62, INT(' CVM'!$AA$4:$AA$62)=INT(D$7)),
      TEXT(_xlfn.SEQUENCE(ROWS(_xlpm.stores)),"0.") &amp; " " &amp; _xlpm.stores
    )
  ),
"")</f>
        <v/>
      </c>
      <c r="E8" s="88" t="str" cm="1">
        <f t="array" aca="1" ref="E8" ca="1">IFERROR(
  _xlfn.TEXTJOIN(CHAR(10), TRUE,
    _xlfn.LET(
      _xlpm.stores,
      _xlfn._xlws.FILTER(' CVM'!$E$4:$E$62, INT(' CVM'!$AA$4:$AA$62)=INT(E$7)),
      TEXT(_xlfn.SEQUENCE(ROWS(_xlpm.stores)),"0.") &amp; " " &amp; _xlpm.stores
    )
  ),
"")</f>
        <v/>
      </c>
      <c r="F8" s="88" t="str" cm="1">
        <f t="array" aca="1" ref="F8" ca="1">IFERROR(
  _xlfn.TEXTJOIN(CHAR(10), TRUE,
    _xlfn.LET(
      _xlpm.stores,
      _xlfn._xlws.FILTER(' CVM'!$E$4:$E$62, INT(' CVM'!$AA$4:$AA$62)=INT(F$7)),
      TEXT(_xlfn.SEQUENCE(ROWS(_xlpm.stores)),"0.") &amp; " " &amp; _xlpm.stores
    )
  ),
"")</f>
        <v/>
      </c>
      <c r="G8" s="88" t="str" cm="1">
        <f t="array" aca="1" ref="G8" ca="1">IFERROR(
  _xlfn.TEXTJOIN(CHAR(10), TRUE,
    _xlfn.LET(
      _xlpm.stores,
      _xlfn._xlws.FILTER(' CVM'!$E$4:$E$62, INT(' CVM'!$AA$4:$AA$62)=INT(G$7)),
      TEXT(_xlfn.SEQUENCE(ROWS(_xlpm.stores)),"0.") &amp; " " &amp; _xlpm.stores
    )
  ),
"")</f>
        <v/>
      </c>
      <c r="H8" s="88" t="str" cm="1">
        <f t="array" aca="1" ref="H8" ca="1">IFERROR(
  _xlfn.TEXTJOIN(CHAR(10), TRUE,
    _xlfn.LET(
      _xlpm.stores,
      _xlfn._xlws.FILTER(' CVM'!$E$4:$E$62, INT(' CVM'!$AA$4:$AA$62)=INT(H$7)),
      TEXT(_xlfn.SEQUENCE(ROWS(_xlpm.stores)),"0.") &amp; " " &amp; _xlpm.stores
    )
  ),
"")</f>
        <v/>
      </c>
      <c r="I8" s="88" t="str" cm="1">
        <f t="array" aca="1" ref="I8" ca="1">IFERROR(
  _xlfn.TEXTJOIN(CHAR(10), TRUE,
    _xlfn.LET(
      _xlpm.stores,
      _xlfn._xlws.FILTER(' CVM'!$E$4:$E$62, INT(' CVM'!$AA$4:$AA$62)=INT(I$7)),
      TEXT(_xlfn.SEQUENCE(ROWS(_xlpm.stores)),"0.") &amp; " " &amp; _xlpm.stores
    )
  ),
"")</f>
        <v/>
      </c>
      <c r="J8" s="88" t="str" cm="1">
        <f t="array" aca="1" ref="J8" ca="1">IFERROR(
  _xlfn.TEXTJOIN(CHAR(10), TRUE,
    _xlfn.LET(
      _xlpm.stores,
      _xlfn._xlws.FILTER(' CVM'!$E$4:$E$62, INT(' CVM'!$AA$4:$AA$62)=INT(J$7)),
      TEXT(_xlfn.SEQUENCE(ROWS(_xlpm.stores)),"0.") &amp; " " &amp; _xlpm.stores
    )
  ),
"")</f>
        <v/>
      </c>
      <c r="K8" s="59"/>
    </row>
    <row r="9" spans="1:11" ht="20.45" customHeight="1">
      <c r="A9" s="2"/>
      <c r="B9" s="147"/>
      <c r="C9" s="59"/>
      <c r="D9" s="65">
        <f t="array" aca="1" ref="D9:J9" ca="1">DaysAndWeeks+DATE(CalendarYear,9,1)-WEEKDAY(DATE(CalendarYear,9,1),(WeekStart="Mon")+1)+22</f>
        <v>46286</v>
      </c>
      <c r="E9" s="65">
        <f ca="1"/>
        <v>46287</v>
      </c>
      <c r="F9" s="65">
        <f ca="1"/>
        <v>46288</v>
      </c>
      <c r="G9" s="65">
        <f ca="1"/>
        <v>46289</v>
      </c>
      <c r="H9" s="65">
        <f ca="1"/>
        <v>46290</v>
      </c>
      <c r="I9" s="65">
        <f ca="1"/>
        <v>46291</v>
      </c>
      <c r="J9" s="65">
        <f ca="1"/>
        <v>46292</v>
      </c>
      <c r="K9" s="59"/>
    </row>
    <row r="10" spans="1:11" ht="83.1" customHeight="1" thickBot="1">
      <c r="A10" s="2"/>
      <c r="B10" s="149"/>
      <c r="C10" s="59"/>
      <c r="D10" s="88" t="str" cm="1">
        <f t="array" aca="1" ref="D10" ca="1">IFERROR(
  _xlfn.TEXTJOIN(CHAR(10), TRUE,
    _xlfn.LET(
      _xlpm.stores,
      _xlfn._xlws.FILTER(' CVM'!$E$4:$E$62, INT(' CVM'!$AA$4:$AA$62)=INT(D$9)),
      TEXT(_xlfn.SEQUENCE(ROWS(_xlpm.stores)),"0.") &amp; " " &amp; _xlpm.stores
    )
  ),
"")</f>
        <v/>
      </c>
      <c r="E10" s="88" t="str" cm="1">
        <f t="array" aca="1" ref="E10" ca="1">IFERROR(
  _xlfn.TEXTJOIN(CHAR(10), TRUE,
    _xlfn.LET(
      _xlpm.stores,
      _xlfn._xlws.FILTER(' CVM'!$E$4:$E$62, INT(' CVM'!$AA$4:$AA$62)=INT(E$9)),
      TEXT(_xlfn.SEQUENCE(ROWS(_xlpm.stores)),"0.") &amp; " " &amp; _xlpm.stores
    )
  ),
"")</f>
        <v/>
      </c>
      <c r="F10" s="88" t="str" cm="1">
        <f t="array" aca="1" ref="F10" ca="1">IFERROR(
  _xlfn.TEXTJOIN(CHAR(10), TRUE,
    _xlfn.LET(
      _xlpm.stores,
      _xlfn._xlws.FILTER(' CVM'!$E$4:$E$62, INT(' CVM'!$AA$4:$AA$62)=INT(F$9)),
      TEXT(_xlfn.SEQUENCE(ROWS(_xlpm.stores)),"0.") &amp; " " &amp; _xlpm.stores
    )
  ),
"")</f>
        <v/>
      </c>
      <c r="G10" s="88" t="str" cm="1">
        <f t="array" aca="1" ref="G10" ca="1">IFERROR(
  _xlfn.TEXTJOIN(CHAR(10), TRUE,
    _xlfn.LET(
      _xlpm.stores,
      _xlfn._xlws.FILTER(' CVM'!$E$4:$E$62, INT(' CVM'!$AA$4:$AA$62)=INT(G$9)),
      TEXT(_xlfn.SEQUENCE(ROWS(_xlpm.stores)),"0.") &amp; " " &amp; _xlpm.stores
    )
  ),
"")</f>
        <v/>
      </c>
      <c r="H10" s="88" t="str" cm="1">
        <f t="array" aca="1" ref="H10" ca="1">IFERROR(
  _xlfn.TEXTJOIN(CHAR(10), TRUE,
    _xlfn.LET(
      _xlpm.stores,
      _xlfn._xlws.FILTER(' CVM'!$E$4:$E$62, INT(' CVM'!$AA$4:$AA$62)=INT(H$9)),
      TEXT(_xlfn.SEQUENCE(ROWS(_xlpm.stores)),"0.") &amp; " " &amp; _xlpm.stores
    )
  ),
"")</f>
        <v/>
      </c>
      <c r="I10" s="88" t="str" cm="1">
        <f t="array" aca="1" ref="I10" ca="1">IFERROR(
  _xlfn.TEXTJOIN(CHAR(10), TRUE,
    _xlfn.LET(
      _xlpm.stores,
      _xlfn._xlws.FILTER(' CVM'!$E$4:$E$62, INT(' CVM'!$AA$4:$AA$62)=INT(I$9)),
      TEXT(_xlfn.SEQUENCE(ROWS(_xlpm.stores)),"0.") &amp; " " &amp; _xlpm.stores
    )
  ),
"")</f>
        <v/>
      </c>
      <c r="J10" s="88" t="str" cm="1">
        <f t="array" aca="1" ref="J10" ca="1">IFERROR(
  _xlfn.TEXTJOIN(CHAR(10), TRUE,
    _xlfn.LET(
      _xlpm.stores,
      _xlfn._xlws.FILTER(' CVM'!$E$4:$E$62, INT(' CVM'!$AA$4:$AA$62)=INT(J$9)),
      TEXT(_xlfn.SEQUENCE(ROWS(_xlpm.stores)),"0.") &amp; " " &amp; _xlpm.stores
    )
  ),
"")</f>
        <v/>
      </c>
      <c r="K10" s="59"/>
    </row>
    <row r="11" spans="1:11" ht="20.45" customHeight="1">
      <c r="A11" s="2"/>
      <c r="B11" s="145"/>
      <c r="C11" s="59"/>
      <c r="D11" s="65">
        <f t="array" aca="1" ref="D11:J11" ca="1">DaysAndWeeks+DATE(CalendarYear,9,1)-WEEKDAY(DATE(CalendarYear,9,1),(WeekStart="Mon")+1)+29</f>
        <v>46293</v>
      </c>
      <c r="E11" s="65">
        <f ca="1"/>
        <v>46294</v>
      </c>
      <c r="F11" s="65">
        <f ca="1"/>
        <v>46295</v>
      </c>
      <c r="G11" s="65">
        <f ca="1"/>
        <v>46296</v>
      </c>
      <c r="H11" s="65">
        <f ca="1"/>
        <v>46297</v>
      </c>
      <c r="I11" s="65">
        <f ca="1"/>
        <v>46298</v>
      </c>
      <c r="J11" s="65">
        <f ca="1"/>
        <v>46299</v>
      </c>
      <c r="K11" s="59"/>
    </row>
    <row r="12" spans="1:11" ht="83.1" customHeight="1" thickBot="1">
      <c r="A12" s="57"/>
      <c r="B12" s="145"/>
      <c r="C12" s="59"/>
      <c r="D12" s="88" t="str" cm="1">
        <f t="array" aca="1" ref="D12" ca="1">IFERROR(
  _xlfn.TEXTJOIN(CHAR(10), TRUE,
    _xlfn.LET(
      _xlpm.stores,
      _xlfn._xlws.FILTER(' CVM'!$E$4:$E$62, INT(' CVM'!$AA$4:$AA$62)=INT(D$11)),
      TEXT(_xlfn.SEQUENCE(ROWS(_xlpm.stores)),"0.") &amp; " " &amp; _xlpm.stores
    )
  ),
"")</f>
        <v/>
      </c>
      <c r="E12" s="88" t="str" cm="1">
        <f t="array" aca="1" ref="E12" ca="1">IFERROR(
  _xlfn.TEXTJOIN(CHAR(10), TRUE,
    _xlfn.LET(
      _xlpm.stores,
      _xlfn._xlws.FILTER(' CVM'!$E$4:$E$62, INT(' CVM'!$AA$4:$AA$62)=INT(E$11)),
      TEXT(_xlfn.SEQUENCE(ROWS(_xlpm.stores)),"0.") &amp; " " &amp; _xlpm.stores
    )
  ),
"")</f>
        <v/>
      </c>
      <c r="F12" s="88" t="str" cm="1">
        <f t="array" aca="1" ref="F12" ca="1">IFERROR(
  _xlfn.TEXTJOIN(CHAR(10), TRUE,
    _xlfn.LET(
      _xlpm.stores,
      _xlfn._xlws.FILTER(' CVM'!$E$4:$E$62, INT(' CVM'!$AA$4:$AA$62)=INT(F$11)),
      TEXT(_xlfn.SEQUENCE(ROWS(_xlpm.stores)),"0.") &amp; " " &amp; _xlpm.stores
    )
  ),
"")</f>
        <v/>
      </c>
      <c r="G12" s="88" t="str" cm="1">
        <f t="array" aca="1" ref="G12" ca="1">IFERROR(
  _xlfn.TEXTJOIN(CHAR(10), TRUE,
    _xlfn.LET(
      _xlpm.stores,
      _xlfn._xlws.FILTER(' CVM'!$E$4:$E$62, INT(' CVM'!$AA$4:$AA$62)=INT(G$11)),
      TEXT(_xlfn.SEQUENCE(ROWS(_xlpm.stores)),"0.") &amp; " " &amp; _xlpm.stores
    )
  ),
"")</f>
        <v/>
      </c>
      <c r="H12" s="88" t="str" cm="1">
        <f t="array" aca="1" ref="H12" ca="1">IFERROR(
  _xlfn.TEXTJOIN(CHAR(10), TRUE,
    _xlfn.LET(
      _xlpm.stores,
      _xlfn._xlws.FILTER(' CVM'!$E$4:$E$62, INT(' CVM'!$AA$4:$AA$62)=INT(H$11)),
      TEXT(_xlfn.SEQUENCE(ROWS(_xlpm.stores)),"0.") &amp; " " &amp; _xlpm.stores
    )
  ),
"")</f>
        <v/>
      </c>
      <c r="I12" s="88" t="str" cm="1">
        <f t="array" aca="1" ref="I12" ca="1">IFERROR(
  _xlfn.TEXTJOIN(CHAR(10), TRUE,
    _xlfn.LET(
      _xlpm.stores,
      _xlfn._xlws.FILTER(' CVM'!$E$4:$E$62, INT(' CVM'!$AA$4:$AA$62)=INT(I$11)),
      TEXT(_xlfn.SEQUENCE(ROWS(_xlpm.stores)),"0.") &amp; " " &amp; _xlpm.stores
    )
  ),
"")</f>
        <v/>
      </c>
      <c r="J12" s="88" t="str" cm="1">
        <f t="array" aca="1" ref="J12" ca="1">IFERROR(
  _xlfn.TEXTJOIN(CHAR(10), TRUE,
    _xlfn.LET(
      _xlpm.stores,
      _xlfn._xlws.FILTER(' CVM'!$E$4:$E$62, INT(' CVM'!$AA$4:$AA$62)=INT(J$11)),
      TEXT(_xlfn.SEQUENCE(ROWS(_xlpm.stores)),"0.") &amp; " " &amp; _xlpm.stores
    )
  ),
"")</f>
        <v/>
      </c>
      <c r="K12" s="59"/>
    </row>
    <row r="13" spans="1:11" ht="20.45" customHeight="1">
      <c r="A13" s="58"/>
      <c r="B13" s="148"/>
      <c r="C13" s="59"/>
      <c r="D13" s="65">
        <f t="array" aca="1" ref="D13:J13" ca="1">DaysAndWeeks+DATE(CalendarYear,9,1)-WEEKDAY(DATE(CalendarYear,9,1),(WeekStart="Mon")+1)+36</f>
        <v>46300</v>
      </c>
      <c r="E13" s="65">
        <f ca="1"/>
        <v>46301</v>
      </c>
      <c r="F13" s="65">
        <f ca="1"/>
        <v>46302</v>
      </c>
      <c r="G13" s="65">
        <f ca="1"/>
        <v>46303</v>
      </c>
      <c r="H13" s="65">
        <f ca="1"/>
        <v>46304</v>
      </c>
      <c r="I13" s="65">
        <f ca="1"/>
        <v>46305</v>
      </c>
      <c r="J13" s="65">
        <f ca="1"/>
        <v>46306</v>
      </c>
      <c r="K13" s="59"/>
    </row>
    <row r="14" spans="1:11" ht="83.1" customHeight="1" thickBot="1">
      <c r="A14" s="58"/>
      <c r="B14" s="149" t="s">
        <v>588</v>
      </c>
      <c r="C14" s="59"/>
      <c r="D14" s="88" t="str" cm="1">
        <f t="array" aca="1" ref="D14" ca="1">IFERROR(
  _xlfn.TEXTJOIN(CHAR(10), TRUE,
    _xlfn.LET(
      _xlpm.stores,
      _xlfn._xlws.FILTER(' CVM'!$E$4:$E$62, INT(' CVM'!$AA$4:$AA$62)=INT(D$13)),
      TEXT(_xlfn.SEQUENCE(ROWS(_xlpm.stores)),"0.") &amp; " " &amp; _xlpm.stores
    )
  ),
"")</f>
        <v/>
      </c>
      <c r="E14" s="88" t="str" cm="1">
        <f t="array" aca="1" ref="E14" ca="1">IFERROR(
  _xlfn.TEXTJOIN(CHAR(10), TRUE,
    _xlfn.LET(
      _xlpm.stores,
      _xlfn._xlws.FILTER(' CVM'!$E$4:$E$62, INT(' CVM'!$AA$4:$AA$62)=INT(E$13)),
      TEXT(_xlfn.SEQUENCE(ROWS(_xlpm.stores)),"0.") &amp; " " &amp; _xlpm.stores
    )
  ),
"")</f>
        <v/>
      </c>
      <c r="F14" s="66"/>
      <c r="G14" s="66"/>
      <c r="H14" s="66"/>
      <c r="I14" s="66"/>
      <c r="J14" s="66"/>
      <c r="K14" s="59"/>
    </row>
    <row r="15" spans="1:11" ht="22.5" customHeight="1">
      <c r="A15" s="2"/>
      <c r="B15" s="150" t="s">
        <v>589</v>
      </c>
      <c r="C15" s="59"/>
      <c r="D15" s="59"/>
      <c r="E15" s="59"/>
      <c r="F15" s="59"/>
      <c r="G15" s="59"/>
      <c r="H15" s="59"/>
      <c r="I15" s="59"/>
      <c r="J15" s="59"/>
      <c r="K15" s="59"/>
    </row>
    <row r="16" spans="1:11" ht="15" customHeight="1">
      <c r="A16" s="2"/>
      <c r="B16" s="145"/>
      <c r="C16" s="59"/>
      <c r="D16" s="59"/>
      <c r="E16" s="59"/>
      <c r="F16" s="59"/>
      <c r="G16" s="59"/>
      <c r="H16" s="59"/>
      <c r="I16" s="59"/>
      <c r="J16" s="59"/>
      <c r="K16" s="59"/>
    </row>
    <row r="17" spans="2:2" ht="49.5" customHeight="1">
      <c r="B17" s="151"/>
    </row>
    <row r="19" spans="2:2" ht="17.850000000000001" customHeight="1"/>
  </sheetData>
  <sheetProtection selectLockedCells="1" sort="0" autoFilter="0"/>
  <mergeCells count="1">
    <mergeCell ref="A6:B6"/>
  </mergeCells>
  <conditionalFormatting sqref="D3:J3">
    <cfRule type="expression" dxfId="43" priority="38">
      <formula>DAY(D3)&gt;8</formula>
    </cfRule>
  </conditionalFormatting>
  <conditionalFormatting sqref="D4">
    <cfRule type="expression" dxfId="42" priority="39">
      <formula>DAY(D3)&gt;8</formula>
    </cfRule>
  </conditionalFormatting>
  <conditionalFormatting sqref="D11:J11 D13:J13 F14:J14">
    <cfRule type="expression" dxfId="41" priority="36">
      <formula>AND(DAY(D11)&gt;=1,DAY(D11)&lt;=15)</formula>
    </cfRule>
  </conditionalFormatting>
  <conditionalFormatting sqref="D13:J13 F14:J14">
    <cfRule type="expression" dxfId="40" priority="37">
      <formula>AND(DAY(D12)&gt;=1,DAY(D12)&lt;=15)</formula>
    </cfRule>
  </conditionalFormatting>
  <conditionalFormatting sqref="E4:J4">
    <cfRule type="containsBlanks" dxfId="39" priority="21">
      <formula>LEN(TRIM(E4))=0</formula>
    </cfRule>
    <cfRule type="notContainsBlanks" dxfId="38" priority="22">
      <formula>LEN(TRIM(E4))&gt;0</formula>
    </cfRule>
  </conditionalFormatting>
  <conditionalFormatting sqref="D6:J6">
    <cfRule type="containsBlanks" dxfId="37" priority="9">
      <formula>LEN(TRIM(D6))=0</formula>
    </cfRule>
    <cfRule type="notContainsBlanks" dxfId="36" priority="10">
      <formula>LEN(TRIM(D6))&gt;0</formula>
    </cfRule>
  </conditionalFormatting>
  <conditionalFormatting sqref="D8:J8">
    <cfRule type="containsBlanks" dxfId="35" priority="7">
      <formula>LEN(TRIM(D8))=0</formula>
    </cfRule>
    <cfRule type="notContainsBlanks" dxfId="34" priority="8">
      <formula>LEN(TRIM(D8))&gt;0</formula>
    </cfRule>
  </conditionalFormatting>
  <conditionalFormatting sqref="D10:J10">
    <cfRule type="containsBlanks" dxfId="33" priority="5">
      <formula>LEN(TRIM(D10))=0</formula>
    </cfRule>
    <cfRule type="notContainsBlanks" dxfId="32" priority="6">
      <formula>LEN(TRIM(D10))&gt;0</formula>
    </cfRule>
  </conditionalFormatting>
  <conditionalFormatting sqref="D12:J12">
    <cfRule type="containsBlanks" dxfId="31" priority="3">
      <formula>LEN(TRIM(D12))=0</formula>
    </cfRule>
    <cfRule type="notContainsBlanks" dxfId="30" priority="4">
      <formula>LEN(TRIM(D12))&gt;0</formula>
    </cfRule>
  </conditionalFormatting>
  <conditionalFormatting sqref="D14:E14">
    <cfRule type="containsBlanks" dxfId="29" priority="1">
      <formula>LEN(TRIM(D14))=0</formula>
    </cfRule>
    <cfRule type="notContainsBlanks" dxfId="28" priority="2">
      <formula>LEN(TRIM(D14))&gt;0</formula>
    </cfRule>
  </conditionalFormatting>
  <dataValidations count="9">
    <dataValidation allowBlank="1" showInputMessage="1" prompt="Automatically determined weekday" sqref="E2:J2" xr:uid="{C5694C67-7BEA-448E-8E13-02E2BB5EB184}"/>
    <dataValidation allowBlank="1" showInputMessage="1" prompt="Automatically determined starting day of the week. To change weekdays, select a new starting day of the week in Q4 of 'JANUARY' worksheet" sqref="D2" xr:uid="{3C608179-D9B6-4EB7-BF91-B94D8F232E7A}"/>
    <dataValidation allowBlank="1" showInputMessage="1" prompt="Calendar year, automatically determined by the year set in P4 of the January worksheet" sqref="B5" xr:uid="{D2C2BEC5-1511-484F-A018-1EB8F3683D3B}"/>
    <dataValidation allowBlank="1" showInputMessage="1" prompt="Navigation link to the previous month" sqref="B14 B10" xr:uid="{D42B89D0-5AC6-43E6-A719-65D25C28EEA0}"/>
    <dataValidation allowBlank="1" showInputMessage="1" showErrorMessage="1" prompt="September month calendar" sqref="A1" xr:uid="{DC4FA2AD-050B-4911-BCBE-36FDBE22948E}"/>
    <dataValidation allowBlank="1" showInputMessage="1" prompt="Rows 3, 5, 7, 9, 11, and 13 contain dates of the month, including the previous and next month, if applicable" sqref="D3" xr:uid="{85ACC053-C9B8-4BF0-BA8E-BE85D6F4A50E}"/>
    <dataValidation allowBlank="1" showInputMessage="1" showErrorMessage="1" prompt="Month for this worksheet is in this cell. Calendar is in the right contains dates from previous, current, and next month." sqref="A6" xr:uid="{52884C1F-895A-4EF9-99F4-95CA9A17A779}"/>
    <dataValidation allowBlank="1" showInputMessage="1" prompt="Enter daily notes in rows 4, 6, 8, 10, 12, and 14, columns D through J" sqref="D4" xr:uid="{7BC27C57-E437-4C69-85E1-C1BE3DA15077}"/>
    <dataValidation allowBlank="1" showInputMessage="1" showErrorMessage="1" prompt="Navigation link to the next month" sqref="B15" xr:uid="{400A1A93-ABF8-40F4-81EE-CCC2B1EE2025}"/>
  </dataValidations>
  <hyperlinks>
    <hyperlink ref="B14" location="AUGUST!A1" tooltip="Navigation link to the next month" display=" &lt; AUGUST" xr:uid="{4D2D1C91-1A2B-4DA1-878C-B6285F6C2A78}"/>
    <hyperlink ref="B15" location="OCTOBER!A1" display="&gt; OCTOBER" xr:uid="{721E14BF-2A73-4F0C-BDC1-E11123568E25}"/>
  </hyperlinks>
  <printOptions horizontalCentered="1" verticalCentered="1"/>
  <pageMargins left="0.25" right="0.25" top="0.75" bottom="0.75" header="0.3" footer="0.3"/>
  <pageSetup scale="77" orientation="landscape" horizontalDpi="4294967293" verticalDpi="200" r:id="rId1"/>
  <ignoredErrors>
    <ignoredError sqref="B2:B3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C94EA-2BD1-412B-8804-2AD7A3A9AB49}">
  <sheetPr codeName="Sheet11">
    <tabColor theme="6" tint="0.59999389629810485"/>
    <pageSetUpPr fitToPage="1"/>
  </sheetPr>
  <dimension ref="A1:K19"/>
  <sheetViews>
    <sheetView showGridLines="0" zoomScaleNormal="100" workbookViewId="0">
      <selection activeCell="B2" sqref="B2"/>
    </sheetView>
  </sheetViews>
  <sheetFormatPr defaultRowHeight="14.45"/>
  <cols>
    <col min="1" max="1" width="12.109375" bestFit="1" customWidth="1"/>
    <col min="2" max="2" width="41.33203125" style="117" customWidth="1"/>
    <col min="3" max="3" width="4.88671875" customWidth="1"/>
    <col min="4" max="10" width="21.77734375" customWidth="1"/>
    <col min="11" max="11" width="4.88671875" customWidth="1"/>
  </cols>
  <sheetData>
    <row r="1" spans="1:11" ht="38.1" customHeight="1">
      <c r="A1" s="16"/>
      <c r="B1" s="152"/>
      <c r="C1" s="19"/>
      <c r="D1" s="20"/>
      <c r="E1" s="21"/>
      <c r="F1" s="21"/>
      <c r="G1" s="21"/>
      <c r="H1" s="22"/>
      <c r="I1" s="19"/>
      <c r="J1" s="19"/>
      <c r="K1" s="19"/>
    </row>
    <row r="2" spans="1:11" ht="25.35" customHeight="1" thickBot="1">
      <c r="A2" s="190" t="s">
        <v>552</v>
      </c>
      <c r="B2" s="191">
        <f>COUNTA(' CVM'!AC4:AC879)</f>
        <v>0</v>
      </c>
      <c r="C2" s="19"/>
      <c r="D2" s="24" t="str">
        <f t="shared" ref="D2:J2" ca="1" si="0">TEXT(D3,"ddd")</f>
        <v>Mon</v>
      </c>
      <c r="E2" s="24" t="str">
        <f t="shared" ca="1" si="0"/>
        <v>Tue</v>
      </c>
      <c r="F2" s="24" t="str">
        <f t="shared" ca="1" si="0"/>
        <v>Wed</v>
      </c>
      <c r="G2" s="24" t="str">
        <f t="shared" ca="1" si="0"/>
        <v>Thu</v>
      </c>
      <c r="H2" s="24" t="str">
        <f t="shared" ca="1" si="0"/>
        <v>Fri</v>
      </c>
      <c r="I2" s="24" t="str">
        <f t="shared" ca="1" si="0"/>
        <v>Sat</v>
      </c>
      <c r="J2" s="24" t="str">
        <f t="shared" ca="1" si="0"/>
        <v>Sun</v>
      </c>
      <c r="K2" s="19"/>
    </row>
    <row r="3" spans="1:11" ht="20.45" customHeight="1">
      <c r="A3" s="190" t="s">
        <v>553</v>
      </c>
      <c r="B3" s="191">
        <f>COUNTIF(' CVM'!AD4:AD62, TRUE)</f>
        <v>0</v>
      </c>
      <c r="C3" s="19"/>
      <c r="D3" s="26">
        <f t="array" aca="1" ref="D3:J3" ca="1">DaysAndWeeks+DATE(CalendarYear,10,1)-WEEKDAY(DATE(CalendarYear,10,1),(WeekStart="Mon")+1)+1</f>
        <v>46293</v>
      </c>
      <c r="E3" s="26">
        <f ca="1"/>
        <v>46294</v>
      </c>
      <c r="F3" s="26">
        <f ca="1"/>
        <v>46295</v>
      </c>
      <c r="G3" s="26">
        <f ca="1"/>
        <v>46296</v>
      </c>
      <c r="H3" s="26">
        <f ca="1"/>
        <v>46297</v>
      </c>
      <c r="I3" s="26">
        <f ca="1"/>
        <v>46298</v>
      </c>
      <c r="J3" s="26">
        <f ca="1"/>
        <v>46299</v>
      </c>
      <c r="K3" s="19"/>
    </row>
    <row r="4" spans="1:11" ht="83.1" customHeight="1" thickBot="1">
      <c r="A4" s="192" t="s">
        <v>557</v>
      </c>
      <c r="B4" s="192"/>
      <c r="C4" s="19"/>
      <c r="D4" s="25"/>
      <c r="E4" s="25"/>
      <c r="F4" s="92"/>
      <c r="G4" s="94" t="str" cm="1">
        <f t="array" aca="1" ref="G4" ca="1">IFERROR(
  _xlfn.TEXTJOIN(CHAR(10), TRUE,
    _xlfn.LET(
      _xlpm.stores,
      _xlfn._xlws.FILTER(' CVM'!$E$4:$E$62, INT(' CVM'!$AC$4:$AC$62)=INT(G$3)),
      TEXT(_xlfn.SEQUENCE(ROWS(_xlpm.stores)),"0.") &amp; " " &amp; _xlpm.stores
    )
  ),
"")</f>
        <v/>
      </c>
      <c r="H4" s="94" t="str" cm="1">
        <f t="array" aca="1" ref="H4" ca="1">IFERROR(
  _xlfn.TEXTJOIN(CHAR(10), TRUE,
    _xlfn.LET(
      _xlpm.stores,
      _xlfn._xlws.FILTER(' CVM'!$E$4:$E$62, INT(' CVM'!$AC$4:$AC$62)=INT(H$3)),
      TEXT(_xlfn.SEQUENCE(ROWS(_xlpm.stores)),"0.") &amp; " " &amp; _xlpm.stores
    )
  ),
"")</f>
        <v/>
      </c>
      <c r="I4" s="94" t="str" cm="1">
        <f t="array" aca="1" ref="I4" ca="1">IFERROR(
  _xlfn.TEXTJOIN(CHAR(10), TRUE,
    _xlfn.LET(
      _xlpm.stores,
      _xlfn._xlws.FILTER(' CVM'!$E$4:$E$62, INT(' CVM'!$AC$4:$AC$62)=INT(I$3)),
      TEXT(_xlfn.SEQUENCE(ROWS(_xlpm.stores)),"0.") &amp; " " &amp; _xlpm.stores
    )
  ),
"")</f>
        <v/>
      </c>
      <c r="J4" s="94" t="str" cm="1">
        <f t="array" aca="1" ref="J4" ca="1">IFERROR(
  _xlfn.TEXTJOIN(CHAR(10), TRUE,
    _xlfn.LET(
      _xlpm.stores,
      _xlfn._xlws.FILTER(' CVM'!$E$4:$E$62, INT(' CVM'!$AC$4:$AC$62)=INT(J$3)),
      TEXT(_xlfn.SEQUENCE(ROWS(_xlpm.stores)),"0.") &amp; " " &amp; _xlpm.stores
    )
  ),
"")</f>
        <v/>
      </c>
      <c r="K4" s="19"/>
    </row>
    <row r="5" spans="1:11" ht="20.45" customHeight="1">
      <c r="A5" s="192" t="s">
        <v>559</v>
      </c>
      <c r="B5" s="192" t="s">
        <v>565</v>
      </c>
      <c r="C5" s="19"/>
      <c r="D5" s="26">
        <f t="array" aca="1" ref="D5:J5" ca="1">DaysAndWeeks+DATE(CalendarYear,10,1)-WEEKDAY(DATE(CalendarYear,10,1),(WeekStart="Mon")+1)+8</f>
        <v>46300</v>
      </c>
      <c r="E5" s="26">
        <f ca="1"/>
        <v>46301</v>
      </c>
      <c r="F5" s="26">
        <f ca="1"/>
        <v>46302</v>
      </c>
      <c r="G5" s="26">
        <f ca="1"/>
        <v>46303</v>
      </c>
      <c r="H5" s="26">
        <f ca="1"/>
        <v>46304</v>
      </c>
      <c r="I5" s="26">
        <f ca="1"/>
        <v>46305</v>
      </c>
      <c r="J5" s="26">
        <f ca="1"/>
        <v>46306</v>
      </c>
      <c r="K5" s="19"/>
    </row>
    <row r="6" spans="1:11" ht="83.1" customHeight="1" thickBot="1">
      <c r="A6" s="311" t="s">
        <v>590</v>
      </c>
      <c r="B6" s="311"/>
      <c r="C6" s="19"/>
      <c r="D6" s="94" t="str" cm="1">
        <f t="array" aca="1" ref="D6" ca="1">IFERROR(
  _xlfn.TEXTJOIN(CHAR(10), TRUE,
    _xlfn.LET(
      _xlpm.stores,
      _xlfn._xlws.FILTER(' CVM'!$E$4:$E$62, INT(' CVM'!$AC$4:$AC$62)=INT(D$5)),
      TEXT(_xlfn.SEQUENCE(ROWS(_xlpm.stores)),"0.") &amp; " " &amp; _xlpm.stores
    )
  ),
"")</f>
        <v/>
      </c>
      <c r="E6" s="94" t="str" cm="1">
        <f t="array" aca="1" ref="E6" ca="1">IFERROR(
  _xlfn.TEXTJOIN(CHAR(10), TRUE,
    _xlfn.LET(
      _xlpm.stores,
      _xlfn._xlws.FILTER(' CVM'!$E$4:$E$62, INT(' CVM'!$AC$4:$AC$62)=INT(E$5)),
      TEXT(_xlfn.SEQUENCE(ROWS(_xlpm.stores)),"0.") &amp; " " &amp; _xlpm.stores
    )
  ),
"")</f>
        <v/>
      </c>
      <c r="F6" s="94" t="str" cm="1">
        <f t="array" aca="1" ref="F6" ca="1">IFERROR(
  _xlfn.TEXTJOIN(CHAR(10), TRUE,
    _xlfn.LET(
      _xlpm.stores,
      _xlfn._xlws.FILTER(' CVM'!$E$4:$E$62, INT(' CVM'!$AC$4:$AC$62)=INT(F$5)),
      TEXT(_xlfn.SEQUENCE(ROWS(_xlpm.stores)),"0.") &amp; " " &amp; _xlpm.stores
    )
  ),
"")</f>
        <v/>
      </c>
      <c r="G6" s="94" t="str" cm="1">
        <f t="array" aca="1" ref="G6" ca="1">IFERROR(
  _xlfn.TEXTJOIN(CHAR(10), TRUE,
    _xlfn.LET(
      _xlpm.stores,
      _xlfn._xlws.FILTER(' CVM'!$E$4:$E$62, INT(' CVM'!$AC$4:$AC$62)=INT(G$5)),
      TEXT(_xlfn.SEQUENCE(ROWS(_xlpm.stores)),"0.") &amp; " " &amp; _xlpm.stores
    )
  ),
"")</f>
        <v/>
      </c>
      <c r="H6" s="94" t="str" cm="1">
        <f t="array" aca="1" ref="H6" ca="1">IFERROR(
  _xlfn.TEXTJOIN(CHAR(10), TRUE,
    _xlfn.LET(
      _xlpm.stores,
      _xlfn._xlws.FILTER(' CVM'!$E$4:$E$62, INT(' CVM'!$AC$4:$AC$62)=INT(H$5)),
      TEXT(_xlfn.SEQUENCE(ROWS(_xlpm.stores)),"0.") &amp; " " &amp; _xlpm.stores
    )
  ),
"")</f>
        <v/>
      </c>
      <c r="I6" s="94" t="str" cm="1">
        <f t="array" aca="1" ref="I6" ca="1">IFERROR(
  _xlfn.TEXTJOIN(CHAR(10), TRUE,
    _xlfn.LET(
      _xlpm.stores,
      _xlfn._xlws.FILTER(' CVM'!$E$4:$E$62, INT(' CVM'!$AC$4:$AC$62)=INT(I$5)),
      TEXT(_xlfn.SEQUENCE(ROWS(_xlpm.stores)),"0.") &amp; " " &amp; _xlpm.stores
    )
  ),
"")</f>
        <v/>
      </c>
      <c r="J6" s="94" t="str" cm="1">
        <f t="array" aca="1" ref="J6" ca="1">IFERROR(
  _xlfn.TEXTJOIN(CHAR(10), TRUE,
    _xlfn.LET(
      _xlpm.stores,
      _xlfn._xlws.FILTER(' CVM'!$E$4:$E$62, INT(' CVM'!$AC$4:$AC$62)=INT(J$5)),
      TEXT(_xlfn.SEQUENCE(ROWS(_xlpm.stores)),"0.") &amp; " " &amp; _xlpm.stores
    )
  ),
"")</f>
        <v/>
      </c>
      <c r="K6" s="19"/>
    </row>
    <row r="7" spans="1:11" ht="20.45" customHeight="1" thickBot="1">
      <c r="A7" s="321" t="s">
        <v>494</v>
      </c>
      <c r="B7" s="321"/>
      <c r="C7" s="19"/>
      <c r="D7" s="26">
        <f t="array" aca="1" ref="D7:J7" ca="1">DaysAndWeeks+DATE(CalendarYear,10,1)-WEEKDAY(DATE(CalendarYear,10,1),(WeekStart="Mon")+1)+15</f>
        <v>46307</v>
      </c>
      <c r="E7" s="26">
        <f ca="1"/>
        <v>46308</v>
      </c>
      <c r="F7" s="26">
        <f ca="1"/>
        <v>46309</v>
      </c>
      <c r="G7" s="26">
        <f ca="1"/>
        <v>46310</v>
      </c>
      <c r="H7" s="26">
        <f ca="1"/>
        <v>46311</v>
      </c>
      <c r="I7" s="26">
        <f ca="1"/>
        <v>46312</v>
      </c>
      <c r="J7" s="26">
        <f ca="1"/>
        <v>46313</v>
      </c>
      <c r="K7" s="19"/>
    </row>
    <row r="8" spans="1:11" ht="83.1" customHeight="1" thickBot="1">
      <c r="A8" s="305"/>
      <c r="B8" s="306"/>
      <c r="C8" s="19"/>
      <c r="D8" s="94" t="str" cm="1">
        <f t="array" aca="1" ref="D8" ca="1">IFERROR(
  _xlfn.TEXTJOIN(CHAR(10), TRUE,
    _xlfn.LET(
      _xlpm.stores,
      _xlfn._xlws.FILTER(' CVM'!$E$4:$E$62, INT(' CVM'!$AC$4:$AC$62)=INT(D$7)),
      TEXT(_xlfn.SEQUENCE(ROWS(_xlpm.stores)),"0.") &amp; " " &amp; _xlpm.stores
    )
  ),
"")</f>
        <v/>
      </c>
      <c r="E8" s="94" t="str" cm="1">
        <f t="array" aca="1" ref="E8" ca="1">IFERROR(
  _xlfn.TEXTJOIN(CHAR(10), TRUE,
    _xlfn.LET(
      _xlpm.stores,
      _xlfn._xlws.FILTER(' CVM'!$E$4:$E$62, INT(' CVM'!$AC$4:$AC$62)=INT(E$7)),
      TEXT(_xlfn.SEQUENCE(ROWS(_xlpm.stores)),"0.") &amp; " " &amp; _xlpm.stores
    )
  ),
"")</f>
        <v/>
      </c>
      <c r="F8" s="94" t="str" cm="1">
        <f t="array" aca="1" ref="F8" ca="1">IFERROR(
  _xlfn.TEXTJOIN(CHAR(10), TRUE,
    _xlfn.LET(
      _xlpm.stores,
      _xlfn._xlws.FILTER(' CVM'!$E$4:$E$62, INT(' CVM'!$AC$4:$AC$62)=INT(F$7)),
      TEXT(_xlfn.SEQUENCE(ROWS(_xlpm.stores)),"0.") &amp; " " &amp; _xlpm.stores
    )
  ),
"")</f>
        <v/>
      </c>
      <c r="G8" s="94" t="str" cm="1">
        <f t="array" aca="1" ref="G8" ca="1">IFERROR(
  _xlfn.TEXTJOIN(CHAR(10), TRUE,
    _xlfn.LET(
      _xlpm.stores,
      _xlfn._xlws.FILTER(' CVM'!$E$4:$E$62, INT(' CVM'!$AC$4:$AC$62)=INT(G$7)),
      TEXT(_xlfn.SEQUENCE(ROWS(_xlpm.stores)),"0.") &amp; " " &amp; _xlpm.stores
    )
  ),
"")</f>
        <v/>
      </c>
      <c r="H8" s="94" t="str" cm="1">
        <f t="array" aca="1" ref="H8" ca="1">IFERROR(
  _xlfn.TEXTJOIN(CHAR(10), TRUE,
    _xlfn.LET(
      _xlpm.stores,
      _xlfn._xlws.FILTER(' CVM'!$E$4:$E$62, INT(' CVM'!$AC$4:$AC$62)=INT(H$7)),
      TEXT(_xlfn.SEQUENCE(ROWS(_xlpm.stores)),"0.") &amp; " " &amp; _xlpm.stores
    )
  ),
"")</f>
        <v/>
      </c>
      <c r="I8" s="94" t="str" cm="1">
        <f t="array" aca="1" ref="I8" ca="1">IFERROR(
  _xlfn.TEXTJOIN(CHAR(10), TRUE,
    _xlfn.LET(
      _xlpm.stores,
      _xlfn._xlws.FILTER(' CVM'!$E$4:$E$62, INT(' CVM'!$AC$4:$AC$62)=INT(I$7)),
      TEXT(_xlfn.SEQUENCE(ROWS(_xlpm.stores)),"0.") &amp; " " &amp; _xlpm.stores
    )
  ),
"")</f>
        <v/>
      </c>
      <c r="J8" s="94" t="str" cm="1">
        <f t="array" aca="1" ref="J8" ca="1">IFERROR(
  _xlfn.TEXTJOIN(CHAR(10), TRUE,
    _xlfn.LET(
      _xlpm.stores,
      _xlfn._xlws.FILTER(' CVM'!$E$4:$E$62, INT(' CVM'!$AC$4:$AC$62)=INT(J$7)),
      TEXT(_xlfn.SEQUENCE(ROWS(_xlpm.stores)),"0.") &amp; " " &amp; _xlpm.stores
    )
  ),
"")</f>
        <v/>
      </c>
      <c r="K8" s="19"/>
    </row>
    <row r="9" spans="1:11" ht="20.45" customHeight="1">
      <c r="A9" s="307"/>
      <c r="B9" s="308"/>
      <c r="C9" s="19"/>
      <c r="D9" s="26">
        <f t="array" aca="1" ref="D9:J9" ca="1">DaysAndWeeks+DATE(CalendarYear,10,1)-WEEKDAY(DATE(CalendarYear,10,1),(WeekStart="Mon")+1)+22</f>
        <v>46314</v>
      </c>
      <c r="E9" s="26">
        <f ca="1"/>
        <v>46315</v>
      </c>
      <c r="F9" s="26">
        <f ca="1"/>
        <v>46316</v>
      </c>
      <c r="G9" s="26">
        <f ca="1"/>
        <v>46317</v>
      </c>
      <c r="H9" s="26">
        <f ca="1"/>
        <v>46318</v>
      </c>
      <c r="I9" s="26">
        <f ca="1"/>
        <v>46319</v>
      </c>
      <c r="J9" s="26">
        <f ca="1"/>
        <v>46320</v>
      </c>
      <c r="K9" s="19"/>
    </row>
    <row r="10" spans="1:11" ht="83.1" customHeight="1" thickBot="1">
      <c r="A10" s="307"/>
      <c r="B10" s="308"/>
      <c r="C10" s="19"/>
      <c r="D10" s="94" t="str" cm="1">
        <f t="array" aca="1" ref="D10" ca="1">IFERROR(
  _xlfn.TEXTJOIN(CHAR(10), TRUE,
    _xlfn.LET(
      _xlpm.stores,
      _xlfn._xlws.FILTER(' CVM'!$E$4:$E$62, INT(' CVM'!$AC$4:$AC$62)=INT(D$9)),
      TEXT(_xlfn.SEQUENCE(ROWS(_xlpm.stores)),"0.") &amp; " " &amp; _xlpm.stores
    )
  ),
"")</f>
        <v/>
      </c>
      <c r="E10" s="94" t="str" cm="1">
        <f t="array" aca="1" ref="E10" ca="1">IFERROR(
  _xlfn.TEXTJOIN(CHAR(10), TRUE,
    _xlfn.LET(
      _xlpm.stores,
      _xlfn._xlws.FILTER(' CVM'!$E$4:$E$62, INT(' CVM'!$AC$4:$AC$62)=INT(E$9)),
      TEXT(_xlfn.SEQUENCE(ROWS(_xlpm.stores)),"0.") &amp; " " &amp; _xlpm.stores
    )
  ),
"")</f>
        <v/>
      </c>
      <c r="F10" s="94" t="str" cm="1">
        <f t="array" aca="1" ref="F10" ca="1">IFERROR(
  _xlfn.TEXTJOIN(CHAR(10), TRUE,
    _xlfn.LET(
      _xlpm.stores,
      _xlfn._xlws.FILTER(' CVM'!$E$4:$E$62, INT(' CVM'!$AC$4:$AC$62)=INT(F$9)),
      TEXT(_xlfn.SEQUENCE(ROWS(_xlpm.stores)),"0.") &amp; " " &amp; _xlpm.stores
    )
  ),
"")</f>
        <v/>
      </c>
      <c r="G10" s="94" t="str" cm="1">
        <f t="array" aca="1" ref="G10" ca="1">IFERROR(
  _xlfn.TEXTJOIN(CHAR(10), TRUE,
    _xlfn.LET(
      _xlpm.stores,
      _xlfn._xlws.FILTER(' CVM'!$E$4:$E$62, INT(' CVM'!$AC$4:$AC$62)=INT(G$9)),
      TEXT(_xlfn.SEQUENCE(ROWS(_xlpm.stores)),"0.") &amp; " " &amp; _xlpm.stores
    )
  ),
"")</f>
        <v/>
      </c>
      <c r="H10" s="94" t="str" cm="1">
        <f t="array" aca="1" ref="H10" ca="1">IFERROR(
  _xlfn.TEXTJOIN(CHAR(10), TRUE,
    _xlfn.LET(
      _xlpm.stores,
      _xlfn._xlws.FILTER(' CVM'!$E$4:$E$62, INT(' CVM'!$AC$4:$AC$62)=INT(H$9)),
      TEXT(_xlfn.SEQUENCE(ROWS(_xlpm.stores)),"0.") &amp; " " &amp; _xlpm.stores
    )
  ),
"")</f>
        <v/>
      </c>
      <c r="I10" s="94" t="str" cm="1">
        <f t="array" aca="1" ref="I10" ca="1">IFERROR(
  _xlfn.TEXTJOIN(CHAR(10), TRUE,
    _xlfn.LET(
      _xlpm.stores,
      _xlfn._xlws.FILTER(' CVM'!$E$4:$E$62, INT(' CVM'!$AC$4:$AC$62)=INT(I$9)),
      TEXT(_xlfn.SEQUENCE(ROWS(_xlpm.stores)),"0.") &amp; " " &amp; _xlpm.stores
    )
  ),
"")</f>
        <v/>
      </c>
      <c r="J10" s="94" t="str" cm="1">
        <f t="array" aca="1" ref="J10" ca="1">IFERROR(
  _xlfn.TEXTJOIN(CHAR(10), TRUE,
    _xlfn.LET(
      _xlpm.stores,
      _xlfn._xlws.FILTER(' CVM'!$E$4:$E$62, INT(' CVM'!$AC$4:$AC$62)=INT(J$9)),
      TEXT(_xlfn.SEQUENCE(ROWS(_xlpm.stores)),"0.") &amp; " " &amp; _xlpm.stores
    )
  ),
"")</f>
        <v/>
      </c>
      <c r="K10" s="19"/>
    </row>
    <row r="11" spans="1:11" ht="20.45" customHeight="1">
      <c r="A11" s="307"/>
      <c r="B11" s="308"/>
      <c r="C11" s="19"/>
      <c r="D11" s="26">
        <f t="array" aca="1" ref="D11:J11" ca="1">DaysAndWeeks+DATE(CalendarYear,10,1)-WEEKDAY(DATE(CalendarYear,10,1),(WeekStart="Mon")+1)+29</f>
        <v>46321</v>
      </c>
      <c r="E11" s="26">
        <f ca="1"/>
        <v>46322</v>
      </c>
      <c r="F11" s="26">
        <f ca="1"/>
        <v>46323</v>
      </c>
      <c r="G11" s="26">
        <f ca="1"/>
        <v>46324</v>
      </c>
      <c r="H11" s="26">
        <f ca="1"/>
        <v>46325</v>
      </c>
      <c r="I11" s="26">
        <f ca="1"/>
        <v>46326</v>
      </c>
      <c r="J11" s="26">
        <f ca="1"/>
        <v>46327</v>
      </c>
      <c r="K11" s="19"/>
    </row>
    <row r="12" spans="1:11" ht="83.1" customHeight="1" thickBot="1">
      <c r="A12" s="307"/>
      <c r="B12" s="308"/>
      <c r="C12" s="19"/>
      <c r="D12" s="94" t="str" cm="1">
        <f t="array" aca="1" ref="D12" ca="1">IFERROR(
  _xlfn.TEXTJOIN(CHAR(10), TRUE,
    _xlfn.LET(
      _xlpm.stores,
      _xlfn._xlws.FILTER(' CVM'!$E$4:$E$62, INT(' CVM'!$AC$4:$AC$62)=INT(D$11)),
      TEXT(_xlfn.SEQUENCE(ROWS(_xlpm.stores)),"0.") &amp; " " &amp; _xlpm.stores
    )
  ),
"")</f>
        <v/>
      </c>
      <c r="E12" s="94" t="str" cm="1">
        <f t="array" aca="1" ref="E12" ca="1">IFERROR(
  _xlfn.TEXTJOIN(CHAR(10), TRUE,
    _xlfn.LET(
      _xlpm.stores,
      _xlfn._xlws.FILTER(' CVM'!$E$4:$E$62, INT(' CVM'!$AC$4:$AC$62)=INT(E$11)),
      TEXT(_xlfn.SEQUENCE(ROWS(_xlpm.stores)),"0.") &amp; " " &amp; _xlpm.stores
    )
  ),
"")</f>
        <v/>
      </c>
      <c r="F12" s="94" t="str" cm="1">
        <f t="array" aca="1" ref="F12" ca="1">IFERROR(
  _xlfn.TEXTJOIN(CHAR(10), TRUE,
    _xlfn.LET(
      _xlpm.stores,
      _xlfn._xlws.FILTER(' CVM'!$E$4:$E$62, INT(' CVM'!$AC$4:$AC$62)=INT(F$11)),
      TEXT(_xlfn.SEQUENCE(ROWS(_xlpm.stores)),"0.") &amp; " " &amp; _xlpm.stores
    )
  ),
"")</f>
        <v/>
      </c>
      <c r="G12" s="94" t="str" cm="1">
        <f t="array" aca="1" ref="G12" ca="1">IFERROR(
  _xlfn.TEXTJOIN(CHAR(10), TRUE,
    _xlfn.LET(
      _xlpm.stores,
      _xlfn._xlws.FILTER(' CVM'!$E$4:$E$62, INT(' CVM'!$AC$4:$AC$62)=INT(G$11)),
      TEXT(_xlfn.SEQUENCE(ROWS(_xlpm.stores)),"0.") &amp; " " &amp; _xlpm.stores
    )
  ),
"")</f>
        <v/>
      </c>
      <c r="H12" s="94" t="str" cm="1">
        <f t="array" aca="1" ref="H12" ca="1">IFERROR(
  _xlfn.TEXTJOIN(CHAR(10), TRUE,
    _xlfn.LET(
      _xlpm.stores,
      _xlfn._xlws.FILTER(' CVM'!$E$4:$E$62, INT(' CVM'!$AC$4:$AC$62)=INT(H$11)),
      TEXT(_xlfn.SEQUENCE(ROWS(_xlpm.stores)),"0.") &amp; " " &amp; _xlpm.stores
    )
  ),
"")</f>
        <v/>
      </c>
      <c r="I12" s="94" t="str" cm="1">
        <f t="array" aca="1" ref="I12" ca="1">IFERROR(
  _xlfn.TEXTJOIN(CHAR(10), TRUE,
    _xlfn.LET(
      _xlpm.stores,
      _xlfn._xlws.FILTER(' CVM'!$E$4:$E$62, INT(' CVM'!$AC$4:$AC$62)=INT(I$11)),
      TEXT(_xlfn.SEQUENCE(ROWS(_xlpm.stores)),"0.") &amp; " " &amp; _xlpm.stores
    )
  ),
"")</f>
        <v/>
      </c>
      <c r="J12" s="25"/>
      <c r="K12" s="19"/>
    </row>
    <row r="13" spans="1:11" ht="20.45" customHeight="1" thickBot="1">
      <c r="A13" s="309"/>
      <c r="B13" s="310"/>
      <c r="C13" s="19"/>
      <c r="D13" s="26">
        <f t="array" aca="1" ref="D13:J13" ca="1">DaysAndWeeks+DATE(CalendarYear,10,1)-WEEKDAY(DATE(CalendarYear,10,1),(WeekStart="Mon")+1)+36</f>
        <v>46328</v>
      </c>
      <c r="E13" s="26">
        <f ca="1"/>
        <v>46329</v>
      </c>
      <c r="F13" s="26">
        <f ca="1"/>
        <v>46330</v>
      </c>
      <c r="G13" s="26">
        <f ca="1"/>
        <v>46331</v>
      </c>
      <c r="H13" s="26">
        <f ca="1"/>
        <v>46332</v>
      </c>
      <c r="I13" s="26">
        <f ca="1"/>
        <v>46333</v>
      </c>
      <c r="J13" s="26">
        <f ca="1"/>
        <v>46334</v>
      </c>
      <c r="K13" s="19"/>
    </row>
    <row r="14" spans="1:11" ht="83.1" customHeight="1" thickBot="1">
      <c r="A14" s="18"/>
      <c r="B14" s="154" t="s">
        <v>591</v>
      </c>
      <c r="C14" s="19"/>
      <c r="D14" s="25"/>
      <c r="E14" s="25"/>
      <c r="F14" s="25"/>
      <c r="G14" s="25"/>
      <c r="H14" s="25"/>
      <c r="I14" s="25"/>
      <c r="J14" s="25"/>
      <c r="K14" s="19"/>
    </row>
    <row r="15" spans="1:11" ht="22.5" customHeight="1">
      <c r="A15" s="17"/>
      <c r="B15" s="155" t="s">
        <v>592</v>
      </c>
      <c r="C15" s="19"/>
      <c r="D15" s="19"/>
      <c r="E15" s="19"/>
      <c r="F15" s="19"/>
      <c r="G15" s="19"/>
      <c r="H15" s="19"/>
      <c r="I15" s="19"/>
      <c r="J15" s="19"/>
      <c r="K15" s="19"/>
    </row>
    <row r="16" spans="1:11" ht="15" customHeight="1">
      <c r="A16" s="17"/>
      <c r="B16" s="156"/>
      <c r="C16" s="23"/>
      <c r="D16" s="23"/>
      <c r="E16" s="23"/>
      <c r="F16" s="23"/>
      <c r="G16" s="23"/>
      <c r="H16" s="23"/>
      <c r="I16" s="23"/>
      <c r="J16" s="23"/>
      <c r="K16" s="23"/>
    </row>
    <row r="17" ht="49.5" customHeight="1"/>
    <row r="19" ht="17.850000000000001" customHeight="1"/>
  </sheetData>
  <sheetProtection selectLockedCells="1" sort="0" autoFilter="0"/>
  <mergeCells count="3">
    <mergeCell ref="A6:B6"/>
    <mergeCell ref="A8:B13"/>
    <mergeCell ref="A7:B7"/>
  </mergeCells>
  <conditionalFormatting sqref="D3:J3">
    <cfRule type="expression" dxfId="27" priority="18">
      <formula>DAY(D3)&gt;8</formula>
    </cfRule>
  </conditionalFormatting>
  <conditionalFormatting sqref="D4:J4">
    <cfRule type="expression" dxfId="26" priority="19">
      <formula>DAY(D3)&gt;8</formula>
    </cfRule>
  </conditionalFormatting>
  <conditionalFormatting sqref="D11:J11 D13:J14 J12">
    <cfRule type="expression" dxfId="25" priority="16">
      <formula>AND(DAY(D11)&gt;=1,DAY(D11)&lt;=15)</formula>
    </cfRule>
  </conditionalFormatting>
  <conditionalFormatting sqref="D13:J14 J12">
    <cfRule type="expression" dxfId="24" priority="17">
      <formula>AND(DAY(D11)&gt;=1,DAY(D11)&lt;=15)</formula>
    </cfRule>
  </conditionalFormatting>
  <conditionalFormatting sqref="F4:J4">
    <cfRule type="notContainsBlanks" dxfId="23" priority="15">
      <formula>LEN(TRIM(F4))&gt;0</formula>
    </cfRule>
  </conditionalFormatting>
  <conditionalFormatting sqref="D6:J6">
    <cfRule type="notContainsBlanks" dxfId="22" priority="4">
      <formula>LEN(TRIM(D6))&gt;0</formula>
    </cfRule>
  </conditionalFormatting>
  <conditionalFormatting sqref="D8:J8">
    <cfRule type="notContainsBlanks" dxfId="21" priority="3">
      <formula>LEN(TRIM(D8))&gt;0</formula>
    </cfRule>
  </conditionalFormatting>
  <conditionalFormatting sqref="D10:J10">
    <cfRule type="notContainsBlanks" dxfId="20" priority="2">
      <formula>LEN(TRIM(D10))&gt;0</formula>
    </cfRule>
  </conditionalFormatting>
  <conditionalFormatting sqref="D12:I12">
    <cfRule type="notContainsBlanks" dxfId="19" priority="1">
      <formula>LEN(TRIM(D12))&gt;0</formula>
    </cfRule>
  </conditionalFormatting>
  <dataValidations count="8">
    <dataValidation allowBlank="1" showInputMessage="1" prompt="Navigation link to the previous month" sqref="B14" xr:uid="{6BDA322D-50A1-40EF-966B-27C2C8BD0FBC}"/>
    <dataValidation allowBlank="1" showInputMessage="1" prompt="Calendar year, automatically determined by the year set in P4 of the January worksheet" sqref="B5" xr:uid="{E51F760E-A116-4ECB-97AF-CD589A53DC1F}"/>
    <dataValidation allowBlank="1" showInputMessage="1" prompt="Automatically determined starting day of the week. To change weekdays, select a new starting day of the week in Q4 of 'JANUARY' worksheet" sqref="D2" xr:uid="{34EE4426-9DDA-491A-8189-553F0F94D7FF}"/>
    <dataValidation allowBlank="1" showInputMessage="1" prompt="Automatically determined weekday" sqref="E2:J2" xr:uid="{C9BBF906-D477-440A-A278-5F49638C749B}"/>
    <dataValidation allowBlank="1" showInputMessage="1" showErrorMessage="1" prompt="October month calendar" sqref="A1" xr:uid="{445A9F0B-BB72-4BB3-94E1-0B58963BB90C}"/>
    <dataValidation allowBlank="1" showInputMessage="1" showErrorMessage="1" prompt="Navigation link to the next month" sqref="B15" xr:uid="{8C6EDCB3-F1E1-45FE-8ED3-216B1DF81A2C}"/>
    <dataValidation allowBlank="1" showInputMessage="1" prompt="Enter daily notes in rows 4, 6, 8, 10, 12, and 14, columns D through J" sqref="D4" xr:uid="{B2E57345-483F-4D30-B008-52EA9396D654}"/>
    <dataValidation allowBlank="1" showInputMessage="1" prompt="Rows 3, 5, 7, 9, 11, and 13 contain dates of the month, including the previous and next month, if applicable" sqref="D3" xr:uid="{7AF328DD-071F-4E5A-B85F-30DC099A59ED}"/>
  </dataValidations>
  <hyperlinks>
    <hyperlink ref="B14" location="SEPTEMBER!A1" tooltip="Navigation link to the next month" display=" &lt; SEPTEMBER" xr:uid="{CC26720C-05BB-4B0B-9293-7DD7BD7FDF3E}"/>
    <hyperlink ref="B15" location="NOVEMBER!A1" display="&gt; NOVEMBER" xr:uid="{A673102C-5941-4C3A-88E6-1DF41E6DBDED}"/>
  </hyperlinks>
  <printOptions horizontalCentered="1" verticalCentered="1"/>
  <pageMargins left="0.25" right="0.25" top="0.75" bottom="0.75" header="0.3" footer="0.3"/>
  <pageSetup scale="77" orientation="landscape" horizontalDpi="4294967293" verticalDpi="200" r:id="rId1"/>
  <ignoredErrors>
    <ignoredError sqref="B2:B3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36439-607D-48D5-AC0B-DEF3A8C4EC48}">
  <sheetPr codeName="Sheet12">
    <tabColor theme="8" tint="0.59999389629810485"/>
    <pageSetUpPr fitToPage="1"/>
  </sheetPr>
  <dimension ref="A1:K19"/>
  <sheetViews>
    <sheetView showGridLines="0" zoomScaleNormal="100" workbookViewId="0">
      <selection activeCell="B2" sqref="B2"/>
    </sheetView>
  </sheetViews>
  <sheetFormatPr defaultRowHeight="14.45"/>
  <cols>
    <col min="1" max="1" width="13.88671875" bestFit="1" customWidth="1"/>
    <col min="2" max="2" width="39.33203125" style="117" customWidth="1"/>
    <col min="3" max="3" width="4.88671875" customWidth="1"/>
    <col min="4" max="10" width="22" customWidth="1"/>
    <col min="11" max="11" width="4.44140625" customWidth="1"/>
  </cols>
  <sheetData>
    <row r="1" spans="1:11" ht="38.1" customHeight="1">
      <c r="A1" s="27"/>
      <c r="B1" s="157"/>
      <c r="C1" s="28"/>
      <c r="D1" s="29"/>
      <c r="E1" s="30"/>
      <c r="F1" s="30"/>
      <c r="G1" s="30"/>
      <c r="H1" s="31"/>
      <c r="I1" s="28"/>
      <c r="J1" s="28"/>
      <c r="K1" s="28"/>
    </row>
    <row r="2" spans="1:11" ht="25.35" customHeight="1" thickBot="1">
      <c r="A2" s="27" t="s">
        <v>552</v>
      </c>
      <c r="B2" s="27">
        <f>COUNTA(' CVM'!AE4:AE879)</f>
        <v>0</v>
      </c>
      <c r="C2" s="28"/>
      <c r="D2" s="32" t="str">
        <f t="shared" ref="D2:J2" ca="1" si="0">TEXT(D3,"ddd")</f>
        <v>Mon</v>
      </c>
      <c r="E2" s="32" t="str">
        <f t="shared" ca="1" si="0"/>
        <v>Tue</v>
      </c>
      <c r="F2" s="32" t="str">
        <f t="shared" ca="1" si="0"/>
        <v>Wed</v>
      </c>
      <c r="G2" s="32" t="str">
        <f t="shared" ca="1" si="0"/>
        <v>Thu</v>
      </c>
      <c r="H2" s="32" t="str">
        <f t="shared" ca="1" si="0"/>
        <v>Fri</v>
      </c>
      <c r="I2" s="32" t="str">
        <f t="shared" ca="1" si="0"/>
        <v>Sat</v>
      </c>
      <c r="J2" s="32" t="str">
        <f t="shared" ca="1" si="0"/>
        <v>Sun</v>
      </c>
      <c r="K2" s="28"/>
    </row>
    <row r="3" spans="1:11" ht="20.45" customHeight="1">
      <c r="A3" s="27" t="s">
        <v>553</v>
      </c>
      <c r="B3" s="27">
        <f>COUNTIF(' CVM'!AF4:AF62, TRUE)</f>
        <v>0</v>
      </c>
      <c r="C3" s="28"/>
      <c r="D3" s="36">
        <f t="array" aca="1" ref="D3:J3" ca="1">DaysAndWeeks+DATE(CalendarYear,11,1)-WEEKDAY(DATE(CalendarYear,11,1),(WeekStart="Mon")+1)+1</f>
        <v>46321</v>
      </c>
      <c r="E3" s="36">
        <f ca="1"/>
        <v>46322</v>
      </c>
      <c r="F3" s="36">
        <f ca="1"/>
        <v>46323</v>
      </c>
      <c r="G3" s="36">
        <f ca="1"/>
        <v>46324</v>
      </c>
      <c r="H3" s="36">
        <f ca="1"/>
        <v>46325</v>
      </c>
      <c r="I3" s="36">
        <f ca="1"/>
        <v>46326</v>
      </c>
      <c r="J3" s="36">
        <f ca="1"/>
        <v>46327</v>
      </c>
      <c r="K3" s="28"/>
    </row>
    <row r="4" spans="1:11" ht="83.1" customHeight="1" thickBot="1">
      <c r="A4" s="193" t="s">
        <v>557</v>
      </c>
      <c r="B4" s="158"/>
      <c r="C4" s="28"/>
      <c r="D4" s="35"/>
      <c r="E4" s="35"/>
      <c r="F4" s="35"/>
      <c r="G4" s="35"/>
      <c r="H4" s="91"/>
      <c r="I4" s="35"/>
      <c r="J4" s="35"/>
      <c r="K4" s="28"/>
    </row>
    <row r="5" spans="1:11" ht="20.45" customHeight="1">
      <c r="A5" s="27" t="s">
        <v>559</v>
      </c>
      <c r="B5" s="217">
        <v>46329</v>
      </c>
      <c r="C5" s="28"/>
      <c r="D5" s="36">
        <f t="array" aca="1" ref="D5:J5" ca="1">DaysAndWeeks+DATE(CalendarYear,11,1)-WEEKDAY(DATE(CalendarYear,11,1),(WeekStart="Mon")+1)+8</f>
        <v>46328</v>
      </c>
      <c r="E5" s="36">
        <f ca="1"/>
        <v>46329</v>
      </c>
      <c r="F5" s="36">
        <f ca="1"/>
        <v>46330</v>
      </c>
      <c r="G5" s="36">
        <f ca="1"/>
        <v>46331</v>
      </c>
      <c r="H5" s="36">
        <f ca="1"/>
        <v>46332</v>
      </c>
      <c r="I5" s="36">
        <f ca="1"/>
        <v>46333</v>
      </c>
      <c r="J5" s="36">
        <f ca="1"/>
        <v>46334</v>
      </c>
      <c r="K5" s="28"/>
    </row>
    <row r="6" spans="1:11" ht="83.1" customHeight="1" thickBot="1">
      <c r="A6" s="312" t="s">
        <v>593</v>
      </c>
      <c r="B6" s="312"/>
      <c r="C6" s="28"/>
      <c r="D6" s="90" t="str" cm="1">
        <f t="array" aca="1" ref="D6" ca="1">IFERROR(
  _xlfn.TEXTJOIN(CHAR(10), TRUE,
    _xlfn.LET(
      _xlpm.stores,
      _xlfn._xlws.FILTER(' CVM'!$E$4:$E$62, INT(' CVM'!$AE$4:$AE$62)=INT(D$5)),
      TEXT(_xlfn.SEQUENCE(ROWS(_xlpm.stores)),"0.") &amp; " " &amp; _xlpm.stores
    )
  ),
"")</f>
        <v/>
      </c>
      <c r="E6" s="218"/>
      <c r="F6" s="90" t="str" cm="1">
        <f t="array" aca="1" ref="F6" ca="1">IFERROR(
  _xlfn.TEXTJOIN(CHAR(10), TRUE,
    _xlfn.LET(
      _xlpm.stores,
      _xlfn._xlws.FILTER(' CVM'!$E$4:$E$62, INT(' CVM'!$AE$4:$AE$62)=INT(F$5)),
      TEXT(_xlfn.SEQUENCE(ROWS(_xlpm.stores)),"0.") &amp; " " &amp; _xlpm.stores
    )
  ),
"")</f>
        <v/>
      </c>
      <c r="G6" s="90" t="str" cm="1">
        <f t="array" aca="1" ref="G6" ca="1">IFERROR(
  _xlfn.TEXTJOIN(CHAR(10), TRUE,
    _xlfn.LET(
      _xlpm.stores,
      _xlfn._xlws.FILTER(' CVM'!$E$4:$E$62, INT(' CVM'!$AE$4:$AE$62)=INT(G$5)),
      TEXT(_xlfn.SEQUENCE(ROWS(_xlpm.stores)),"0.") &amp; " " &amp; _xlpm.stores
    )
  ),
"")</f>
        <v/>
      </c>
      <c r="H6" s="90" t="str" cm="1">
        <f t="array" aca="1" ref="H6" ca="1">IFERROR(
  _xlfn.TEXTJOIN(CHAR(10), TRUE,
    _xlfn.LET(
      _xlpm.stores,
      _xlfn._xlws.FILTER(' CVM'!$E$4:$E$62, INT(' CVM'!$AE$4:$AE$62)=INT(H$5)),
      TEXT(_xlfn.SEQUENCE(ROWS(_xlpm.stores)),"0.") &amp; " " &amp; _xlpm.stores
    )
  ),
"")</f>
        <v/>
      </c>
      <c r="I6" s="90" t="str" cm="1">
        <f t="array" aca="1" ref="I6" ca="1">IFERROR(
  _xlfn.TEXTJOIN(CHAR(10), TRUE,
    _xlfn.LET(
      _xlpm.stores,
      _xlfn._xlws.FILTER(' CVM'!$E$4:$E$62, INT(' CVM'!$AE$4:$AE$62)=INT(I$5)),
      TEXT(_xlfn.SEQUENCE(ROWS(_xlpm.stores)),"0.") &amp; " " &amp; _xlpm.stores
    )
  ),
"")</f>
        <v/>
      </c>
      <c r="J6" s="90" t="str" cm="1">
        <f t="array" aca="1" ref="J6" ca="1">IFERROR(
  _xlfn.TEXTJOIN(CHAR(10), TRUE,
    _xlfn.LET(
      _xlpm.stores,
      _xlfn._xlws.FILTER(' CVM'!$E$4:$E$62, INT(' CVM'!$AE$4:$AE$62)=INT(J$5)),
      TEXT(_xlfn.SEQUENCE(ROWS(_xlpm.stores)),"0.") &amp; " " &amp; _xlpm.stores
    )
  ),
"")</f>
        <v/>
      </c>
      <c r="K6" s="28"/>
    </row>
    <row r="7" spans="1:11" ht="20.45" customHeight="1" thickBot="1">
      <c r="A7" s="313" t="s">
        <v>494</v>
      </c>
      <c r="B7" s="313"/>
      <c r="C7" s="28"/>
      <c r="D7" s="36">
        <f t="array" aca="1" ref="D7:J7" ca="1">DaysAndWeeks+DATE(CalendarYear,11,1)-WEEKDAY(DATE(CalendarYear,11,1),(WeekStart="Mon")+1)+15</f>
        <v>46335</v>
      </c>
      <c r="E7" s="36">
        <f ca="1"/>
        <v>46336</v>
      </c>
      <c r="F7" s="36">
        <f ca="1"/>
        <v>46337</v>
      </c>
      <c r="G7" s="36">
        <f ca="1"/>
        <v>46338</v>
      </c>
      <c r="H7" s="36">
        <f ca="1"/>
        <v>46339</v>
      </c>
      <c r="I7" s="36">
        <f ca="1"/>
        <v>46340</v>
      </c>
      <c r="J7" s="36">
        <f ca="1"/>
        <v>46341</v>
      </c>
      <c r="K7" s="28"/>
    </row>
    <row r="8" spans="1:11" ht="83.1" customHeight="1" thickBot="1">
      <c r="A8" s="314"/>
      <c r="B8" s="315"/>
      <c r="C8" s="28"/>
      <c r="D8" s="90" t="str" cm="1">
        <f t="array" aca="1" ref="D8" ca="1">IFERROR(
  _xlfn.TEXTJOIN(CHAR(10), TRUE,
    _xlfn.LET(
      _xlpm.stores,
      _xlfn._xlws.FILTER(' CVM'!$E$4:$E$62, INT(' CVM'!$AE$4:$AE$62)=INT(D$7)),
      TEXT(_xlfn.SEQUENCE(ROWS(_xlpm.stores)),"0.") &amp; " " &amp; _xlpm.stores
    )
  ),
"")</f>
        <v/>
      </c>
      <c r="E8" s="90" t="str" cm="1">
        <f t="array" aca="1" ref="E8" ca="1">IFERROR(
  _xlfn.TEXTJOIN(CHAR(10), TRUE,
    _xlfn.LET(
      _xlpm.stores,
      _xlfn._xlws.FILTER(' CVM'!$E$4:$E$62, INT(' CVM'!$AE$4:$AE$62)=INT(E$7)),
      TEXT(_xlfn.SEQUENCE(ROWS(_xlpm.stores)),"0.") &amp; " " &amp; _xlpm.stores
    )
  ),
"")</f>
        <v/>
      </c>
      <c r="F8" s="90" t="str" cm="1">
        <f t="array" aca="1" ref="F8" ca="1">IFERROR(
  _xlfn.TEXTJOIN(CHAR(10), TRUE,
    _xlfn.LET(
      _xlpm.stores,
      _xlfn._xlws.FILTER(' CVM'!$E$4:$E$62, INT(' CVM'!$AE$4:$AE$62)=INT(F$7)),
      TEXT(_xlfn.SEQUENCE(ROWS(_xlpm.stores)),"0.") &amp; " " &amp; _xlpm.stores
    )
  ),
"")</f>
        <v/>
      </c>
      <c r="G8" s="90" t="str" cm="1">
        <f t="array" aca="1" ref="G8" ca="1">IFERROR(
  _xlfn.TEXTJOIN(CHAR(10), TRUE,
    _xlfn.LET(
      _xlpm.stores,
      _xlfn._xlws.FILTER(' CVM'!$E$4:$E$62, INT(' CVM'!$AE$4:$AE$62)=INT(G$7)),
      TEXT(_xlfn.SEQUENCE(ROWS(_xlpm.stores)),"0.") &amp; " " &amp; _xlpm.stores
    )
  ),
"")</f>
        <v/>
      </c>
      <c r="H8" s="90" t="str" cm="1">
        <f t="array" aca="1" ref="H8" ca="1">IFERROR(
  _xlfn.TEXTJOIN(CHAR(10), TRUE,
    _xlfn.LET(
      _xlpm.stores,
      _xlfn._xlws.FILTER(' CVM'!$E$4:$E$62, INT(' CVM'!$AE$4:$AE$62)=INT(H$7)),
      TEXT(_xlfn.SEQUENCE(ROWS(_xlpm.stores)),"0.") &amp; " " &amp; _xlpm.stores
    )
  ),
"")</f>
        <v/>
      </c>
      <c r="I8" s="90" t="str" cm="1">
        <f t="array" aca="1" ref="I8" ca="1">IFERROR(
  _xlfn.TEXTJOIN(CHAR(10), TRUE,
    _xlfn.LET(
      _xlpm.stores,
      _xlfn._xlws.FILTER(' CVM'!$E$4:$E$62, INT(' CVM'!$AE$4:$AE$62)=INT(I$7)),
      TEXT(_xlfn.SEQUENCE(ROWS(_xlpm.stores)),"0.") &amp; " " &amp; _xlpm.stores
    )
  ),
"")</f>
        <v/>
      </c>
      <c r="J8" s="90" t="str" cm="1">
        <f t="array" aca="1" ref="J8" ca="1">IFERROR(
  _xlfn.TEXTJOIN(CHAR(10), TRUE,
    _xlfn.LET(
      _xlpm.stores,
      _xlfn._xlws.FILTER(' CVM'!$E$4:$E$62, INT(' CVM'!$AE$4:$AE$62)=INT(J$7)),
      TEXT(_xlfn.SEQUENCE(ROWS(_xlpm.stores)),"0.") &amp; " " &amp; _xlpm.stores
    )
  ),
"")</f>
        <v/>
      </c>
      <c r="K8" s="28"/>
    </row>
    <row r="9" spans="1:11" ht="20.45" customHeight="1">
      <c r="A9" s="316"/>
      <c r="B9" s="317"/>
      <c r="C9" s="28"/>
      <c r="D9" s="36">
        <f t="array" aca="1" ref="D9:J9" ca="1">DaysAndWeeks+DATE(CalendarYear,11,1)-WEEKDAY(DATE(CalendarYear,11,1),(WeekStart="Mon")+1)+22</f>
        <v>46342</v>
      </c>
      <c r="E9" s="36">
        <f ca="1"/>
        <v>46343</v>
      </c>
      <c r="F9" s="36">
        <f ca="1"/>
        <v>46344</v>
      </c>
      <c r="G9" s="36">
        <f ca="1"/>
        <v>46345</v>
      </c>
      <c r="H9" s="36">
        <f ca="1"/>
        <v>46346</v>
      </c>
      <c r="I9" s="36">
        <f ca="1"/>
        <v>46347</v>
      </c>
      <c r="J9" s="36">
        <f ca="1"/>
        <v>46348</v>
      </c>
      <c r="K9" s="28"/>
    </row>
    <row r="10" spans="1:11" ht="83.1" customHeight="1" thickBot="1">
      <c r="A10" s="316"/>
      <c r="B10" s="317"/>
      <c r="C10" s="28"/>
      <c r="D10" s="90" t="str" cm="1">
        <f t="array" aca="1" ref="D10" ca="1">IFERROR(
  _xlfn.TEXTJOIN(CHAR(10), TRUE,
    _xlfn.LET(
      _xlpm.stores,
      _xlfn._xlws.FILTER(' CVM'!$E$4:$E$62, INT(' CVM'!$AE$4:$AE$62)=INT(D$9)),
      TEXT(_xlfn.SEQUENCE(ROWS(_xlpm.stores)),"0.") &amp; " " &amp; _xlpm.stores
    )
  ),
"")</f>
        <v/>
      </c>
      <c r="E10" s="90" t="str" cm="1">
        <f t="array" aca="1" ref="E10" ca="1">IFERROR(
  _xlfn.TEXTJOIN(CHAR(10), TRUE,
    _xlfn.LET(
      _xlpm.stores,
      _xlfn._xlws.FILTER(' CVM'!$E$4:$E$62, INT(' CVM'!$AE$4:$AE$62)=INT(E$9)),
      TEXT(_xlfn.SEQUENCE(ROWS(_xlpm.stores)),"0.") &amp; " " &amp; _xlpm.stores
    )
  ),
"")</f>
        <v/>
      </c>
      <c r="F10" s="90" t="str" cm="1">
        <f t="array" aca="1" ref="F10" ca="1">IFERROR(
  _xlfn.TEXTJOIN(CHAR(10), TRUE,
    _xlfn.LET(
      _xlpm.stores,
      _xlfn._xlws.FILTER(' CVM'!$E$4:$E$62, INT(' CVM'!$AE$4:$AE$62)=INT(F$9)),
      TEXT(_xlfn.SEQUENCE(ROWS(_xlpm.stores)),"0.") &amp; " " &amp; _xlpm.stores
    )
  ),
"")</f>
        <v/>
      </c>
      <c r="G10" s="90" t="str" cm="1">
        <f t="array" aca="1" ref="G10" ca="1">IFERROR(
  _xlfn.TEXTJOIN(CHAR(10), TRUE,
    _xlfn.LET(
      _xlpm.stores,
      _xlfn._xlws.FILTER(' CVM'!$E$4:$E$62, INT(' CVM'!$AE$4:$AE$62)=INT(G$9)),
      TEXT(_xlfn.SEQUENCE(ROWS(_xlpm.stores)),"0.") &amp; " " &amp; _xlpm.stores
    )
  ),
"")</f>
        <v/>
      </c>
      <c r="H10" s="90" t="str" cm="1">
        <f t="array" aca="1" ref="H10" ca="1">IFERROR(
  _xlfn.TEXTJOIN(CHAR(10), TRUE,
    _xlfn.LET(
      _xlpm.stores,
      _xlfn._xlws.FILTER(' CVM'!$E$4:$E$62, INT(' CVM'!$AE$4:$AE$62)=INT(H$9)),
      TEXT(_xlfn.SEQUENCE(ROWS(_xlpm.stores)),"0.") &amp; " " &amp; _xlpm.stores
    )
  ),
"")</f>
        <v/>
      </c>
      <c r="I10" s="90" t="str" cm="1">
        <f t="array" aca="1" ref="I10" ca="1">IFERROR(
  _xlfn.TEXTJOIN(CHAR(10), TRUE,
    _xlfn.LET(
      _xlpm.stores,
      _xlfn._xlws.FILTER(' CVM'!$E$4:$E$62, INT(' CVM'!$AE$4:$AE$62)=INT(I$9)),
      TEXT(_xlfn.SEQUENCE(ROWS(_xlpm.stores)),"0.") &amp; " " &amp; _xlpm.stores
    )
  ),
"")</f>
        <v/>
      </c>
      <c r="J10" s="90" t="str" cm="1">
        <f t="array" aca="1" ref="J10" ca="1">IFERROR(
  _xlfn.TEXTJOIN(CHAR(10), TRUE,
    _xlfn.LET(
      _xlpm.stores,
      _xlfn._xlws.FILTER(' CVM'!$E$4:$E$62, INT(' CVM'!$AE$4:$AE$62)=INT(J$9)),
      TEXT(_xlfn.SEQUENCE(ROWS(_xlpm.stores)),"0.") &amp; " " &amp; _xlpm.stores
    )
  ),
"")</f>
        <v/>
      </c>
      <c r="K10" s="28"/>
    </row>
    <row r="11" spans="1:11" ht="20.45" customHeight="1">
      <c r="A11" s="316"/>
      <c r="B11" s="317"/>
      <c r="C11" s="28"/>
      <c r="D11" s="36">
        <f t="array" aca="1" ref="D11:J11" ca="1">DaysAndWeeks+DATE(CalendarYear,11,1)-WEEKDAY(DATE(CalendarYear,11,1),(WeekStart="Mon")+1)+29</f>
        <v>46349</v>
      </c>
      <c r="E11" s="36">
        <f ca="1"/>
        <v>46350</v>
      </c>
      <c r="F11" s="36">
        <f ca="1"/>
        <v>46351</v>
      </c>
      <c r="G11" s="36">
        <f ca="1"/>
        <v>46352</v>
      </c>
      <c r="H11" s="36">
        <f ca="1"/>
        <v>46353</v>
      </c>
      <c r="I11" s="36">
        <f ca="1"/>
        <v>46354</v>
      </c>
      <c r="J11" s="36">
        <f ca="1"/>
        <v>46355</v>
      </c>
      <c r="K11" s="28"/>
    </row>
    <row r="12" spans="1:11" ht="83.1" customHeight="1" thickBot="1">
      <c r="A12" s="316"/>
      <c r="B12" s="317"/>
      <c r="C12" s="28"/>
      <c r="D12" s="90" t="str" cm="1">
        <f t="array" aca="1" ref="D12" ca="1">IFERROR(
  _xlfn.TEXTJOIN(CHAR(10), TRUE,
    _xlfn.LET(
      _xlpm.stores,
      _xlfn._xlws.FILTER(' CVM'!$E$4:$E$62, INT(' CVM'!$AE$4:$AE$62)=INT(D$11)),
      TEXT(_xlfn.SEQUENCE(ROWS(_xlpm.stores)),"0.") &amp; " " &amp; _xlpm.stores
    )
  ),
"")</f>
        <v/>
      </c>
      <c r="E12" s="90" t="str" cm="1">
        <f t="array" aca="1" ref="E12" ca="1">IFERROR(
  _xlfn.TEXTJOIN(CHAR(10), TRUE,
    _xlfn.LET(
      _xlpm.stores,
      _xlfn._xlws.FILTER(' CVM'!$E$4:$E$62, INT(' CVM'!$AE$4:$AE$62)=INT(E$11)),
      TEXT(_xlfn.SEQUENCE(ROWS(_xlpm.stores)),"0.") &amp; " " &amp; _xlpm.stores
    )
  ),
"")</f>
        <v/>
      </c>
      <c r="F12" s="90" t="str" cm="1">
        <f t="array" aca="1" ref="F12" ca="1">IFERROR(
  _xlfn.TEXTJOIN(CHAR(10), TRUE,
    _xlfn.LET(
      _xlpm.stores,
      _xlfn._xlws.FILTER(' CVM'!$E$4:$E$62, INT(' CVM'!$AE$4:$AE$62)=INT(F$11)),
      TEXT(_xlfn.SEQUENCE(ROWS(_xlpm.stores)),"0.") &amp; " " &amp; _xlpm.stores
    )
  ),
"")</f>
        <v/>
      </c>
      <c r="G12" s="90" t="str" cm="1">
        <f t="array" aca="1" ref="G12" ca="1">IFERROR(
  _xlfn.TEXTJOIN(CHAR(10), TRUE,
    _xlfn.LET(
      _xlpm.stores,
      _xlfn._xlws.FILTER(' CVM'!$E$4:$E$62, INT(' CVM'!$AE$4:$AE$62)=INT(G$11)),
      TEXT(_xlfn.SEQUENCE(ROWS(_xlpm.stores)),"0.") &amp; " " &amp; _xlpm.stores
    )
  ),
"")</f>
        <v/>
      </c>
      <c r="H12" s="90" t="str" cm="1">
        <f t="array" aca="1" ref="H12" ca="1">IFERROR(
  _xlfn.TEXTJOIN(CHAR(10), TRUE,
    _xlfn.LET(
      _xlpm.stores,
      _xlfn._xlws.FILTER(' CVM'!$E$4:$E$62, INT(' CVM'!$AE$4:$AE$62)=INT(H$11)),
      TEXT(_xlfn.SEQUENCE(ROWS(_xlpm.stores)),"0.") &amp; " " &amp; _xlpm.stores
    )
  ),
"")</f>
        <v/>
      </c>
      <c r="I12" s="90" t="str" cm="1">
        <f t="array" aca="1" ref="I12" ca="1">IFERROR(
  _xlfn.TEXTJOIN(CHAR(10), TRUE,
    _xlfn.LET(
      _xlpm.stores,
      _xlfn._xlws.FILTER(' CVM'!$E$4:$E$62, INT(' CVM'!$AE$4:$AE$62)=INT(I$11)),
      TEXT(_xlfn.SEQUENCE(ROWS(_xlpm.stores)),"0.") &amp; " " &amp; _xlpm.stores
    )
  ),
"")</f>
        <v/>
      </c>
      <c r="J12" s="90" t="str" cm="1">
        <f t="array" aca="1" ref="J12" ca="1">IFERROR(
  _xlfn.TEXTJOIN(CHAR(10), TRUE,
    _xlfn.LET(
      _xlpm.stores,
      _xlfn._xlws.FILTER(' CVM'!$E$4:$E$62, INT(' CVM'!$AE$4:$AE$62)=INT(J$11)),
      TEXT(_xlfn.SEQUENCE(ROWS(_xlpm.stores)),"0.") &amp; " " &amp; _xlpm.stores
    )
  ),
"")</f>
        <v/>
      </c>
      <c r="K12" s="28"/>
    </row>
    <row r="13" spans="1:11" ht="20.45" customHeight="1" thickBot="1">
      <c r="A13" s="318"/>
      <c r="B13" s="319"/>
      <c r="C13" s="28"/>
      <c r="D13" s="36">
        <f t="array" aca="1" ref="D13:J13" ca="1">DaysAndWeeks+DATE(CalendarYear,11,1)-WEEKDAY(DATE(CalendarYear,11,1),(WeekStart="Mon")+1)+36</f>
        <v>46356</v>
      </c>
      <c r="E13" s="36">
        <f ca="1"/>
        <v>46357</v>
      </c>
      <c r="F13" s="36">
        <f ca="1"/>
        <v>46358</v>
      </c>
      <c r="G13" s="36">
        <f ca="1"/>
        <v>46359</v>
      </c>
      <c r="H13" s="36">
        <f ca="1"/>
        <v>46360</v>
      </c>
      <c r="I13" s="36">
        <f ca="1"/>
        <v>46361</v>
      </c>
      <c r="J13" s="36">
        <f ca="1"/>
        <v>46362</v>
      </c>
      <c r="K13" s="28"/>
    </row>
    <row r="14" spans="1:11" ht="83.1" customHeight="1" thickBot="1">
      <c r="A14" s="34"/>
      <c r="B14" s="160" t="s">
        <v>594</v>
      </c>
      <c r="C14" s="28"/>
      <c r="D14" s="76" t="str" cm="1">
        <f t="array" aca="1" ref="D14" ca="1">IFERROR(
  _xlfn.TEXTJOIN(CHAR(10), TRUE,
    _xlfn.LET(
      _xlpm.stores,
      _xlfn._xlws.FILTER(' CVM'!$E$4:$E$62, INT(' CVM'!$AE$4:$AE$62)=INT(D$13)),
      TEXT(_xlfn.SEQUENCE(ROWS(_xlpm.stores)),"0.") &amp; " " &amp; _xlpm.stores
    )
  ),
"")</f>
        <v/>
      </c>
      <c r="E14" s="76"/>
      <c r="F14" s="76"/>
      <c r="G14" s="76"/>
      <c r="H14" s="76"/>
      <c r="I14" s="76"/>
      <c r="J14" s="76"/>
      <c r="K14" s="28"/>
    </row>
    <row r="15" spans="1:11" ht="22.5" customHeight="1">
      <c r="A15" s="33"/>
      <c r="B15" s="161" t="s">
        <v>595</v>
      </c>
      <c r="C15" s="28"/>
      <c r="D15" s="28"/>
      <c r="E15" s="28"/>
      <c r="F15" s="28"/>
      <c r="G15" s="28"/>
      <c r="H15" s="28"/>
      <c r="I15" s="28"/>
      <c r="J15" s="28"/>
      <c r="K15" s="28"/>
    </row>
    <row r="16" spans="1:11" ht="15" customHeight="1">
      <c r="A16" s="33"/>
      <c r="B16" s="159"/>
      <c r="C16" s="28"/>
      <c r="D16" s="28"/>
      <c r="E16" s="28"/>
      <c r="F16" s="28"/>
      <c r="G16" s="28"/>
      <c r="H16" s="28"/>
      <c r="I16" s="28"/>
      <c r="J16" s="28"/>
      <c r="K16" s="28"/>
    </row>
    <row r="17" ht="49.5" customHeight="1"/>
    <row r="19" ht="17.850000000000001" customHeight="1"/>
  </sheetData>
  <sheetProtection selectLockedCells="1" sort="0" autoFilter="0"/>
  <mergeCells count="3">
    <mergeCell ref="A6:B6"/>
    <mergeCell ref="A7:B7"/>
    <mergeCell ref="A8:B13"/>
  </mergeCells>
  <conditionalFormatting sqref="D3:J3">
    <cfRule type="expression" dxfId="18" priority="22">
      <formula>DAY(D3)&gt;8</formula>
    </cfRule>
  </conditionalFormatting>
  <conditionalFormatting sqref="D4:J4">
    <cfRule type="expression" dxfId="17" priority="23">
      <formula>DAY(D3)&gt;8</formula>
    </cfRule>
  </conditionalFormatting>
  <conditionalFormatting sqref="D11:J11 D13:J14">
    <cfRule type="expression" dxfId="16" priority="20">
      <formula>AND(DAY(D11)&gt;=1,DAY(D11)&lt;=15)</formula>
    </cfRule>
  </conditionalFormatting>
  <conditionalFormatting sqref="D13:J14">
    <cfRule type="expression" dxfId="15" priority="21">
      <formula>AND(DAY(D12)&gt;=1,DAY(D12)&lt;=15)</formula>
    </cfRule>
  </conditionalFormatting>
  <conditionalFormatting sqref="H4:J4">
    <cfRule type="notContainsBlanks" dxfId="14" priority="19">
      <formula>LEN(TRIM(H4))&gt;0</formula>
    </cfRule>
  </conditionalFormatting>
  <conditionalFormatting sqref="D6 F6:J6">
    <cfRule type="notContainsBlanks" dxfId="13" priority="14">
      <formula>LEN(TRIM(D6))&gt;0</formula>
    </cfRule>
  </conditionalFormatting>
  <conditionalFormatting sqref="D8:J8">
    <cfRule type="notContainsBlanks" dxfId="12" priority="4">
      <formula>LEN(TRIM(D8))&gt;0</formula>
    </cfRule>
  </conditionalFormatting>
  <conditionalFormatting sqref="D10:J10">
    <cfRule type="notContainsBlanks" dxfId="11" priority="3">
      <formula>LEN(TRIM(D10))&gt;0</formula>
    </cfRule>
  </conditionalFormatting>
  <conditionalFormatting sqref="D12:J12">
    <cfRule type="notContainsBlanks" dxfId="10" priority="2">
      <formula>LEN(TRIM(D12))&gt;0</formula>
    </cfRule>
  </conditionalFormatting>
  <dataValidations count="8">
    <dataValidation allowBlank="1" showInputMessage="1" prompt="Navigation link to the previous month" sqref="B14" xr:uid="{4C61BEC4-FD0F-4340-8F5E-7EA2749B47BA}"/>
    <dataValidation allowBlank="1" showInputMessage="1" prompt="Automatically determined starting day of the week. To change weekdays, select a new starting day of the week in Q4 of 'JANUARY' worksheet" sqref="D2" xr:uid="{8D697E43-2828-478E-AAF1-F186CF0AB026}"/>
    <dataValidation allowBlank="1" showInputMessage="1" prompt="Automatically determined weekday" sqref="E2:J2" xr:uid="{6EB4A628-048B-4D24-B134-62DFD7E87FC6}"/>
    <dataValidation allowBlank="1" showInputMessage="1" showErrorMessage="1" prompt="November month calendar" sqref="A1" xr:uid="{9668F6DD-89F7-4845-B338-CB5055DFA540}"/>
    <dataValidation allowBlank="1" showInputMessage="1" prompt="Rows 3, 5, 7, 9, 11, and 13 contain dates of the month, including the previous and next month, if applicable" sqref="D3" xr:uid="{77923629-F39C-45CD-9F15-1E864CF09632}"/>
    <dataValidation allowBlank="1" showInputMessage="1" showErrorMessage="1" prompt="Month for this worksheet is in this cell. Calendar is in the right contains dates from previous, current, and next month." sqref="A6" xr:uid="{5EF48A17-0527-4120-860D-733B047BD1A4}"/>
    <dataValidation allowBlank="1" showInputMessage="1" prompt="Enter daily notes in rows 4, 6, 8, 10, 12, and 14, columns D through J" sqref="D4" xr:uid="{6622B29A-515D-4A02-BDD3-C36C41E420B5}"/>
    <dataValidation allowBlank="1" showInputMessage="1" showErrorMessage="1" prompt="Navigation link to the next month" sqref="B15" xr:uid="{F90615A2-FB8C-412E-9641-130BD90ACFF3}"/>
  </dataValidations>
  <hyperlinks>
    <hyperlink ref="B14" location="OCTOBER!A1" tooltip="Navigation link to the next month" display=" &lt; OCTOBER" xr:uid="{74C0E716-0020-4E29-B748-A367E2755FC8}"/>
    <hyperlink ref="B15" location="DECEMBER!A1" display="&gt; DECEMBER" xr:uid="{33F62C73-1428-4928-BC96-0DAB995FC91D}"/>
  </hyperlinks>
  <printOptions horizontalCentered="1" verticalCentered="1"/>
  <pageMargins left="0.25" right="0.25" top="0.75" bottom="0.75" header="0.3" footer="0.3"/>
  <pageSetup scale="77" orientation="landscape" horizontalDpi="4294967293" verticalDpi="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542EA-7A3A-49EA-85A1-5D03BA424824}">
  <sheetPr codeName="Sheet13">
    <tabColor theme="5" tint="0.59999389629810485"/>
    <pageSetUpPr fitToPage="1"/>
  </sheetPr>
  <dimension ref="A1:K19"/>
  <sheetViews>
    <sheetView showGridLines="0" zoomScaleNormal="100" workbookViewId="0">
      <selection activeCell="B2" sqref="B2"/>
    </sheetView>
  </sheetViews>
  <sheetFormatPr defaultRowHeight="14.45"/>
  <cols>
    <col min="1" max="1" width="13.88671875" bestFit="1" customWidth="1"/>
    <col min="2" max="2" width="43.6640625" style="117" customWidth="1"/>
    <col min="3" max="3" width="4.88671875" customWidth="1"/>
    <col min="4" max="10" width="21.21875" style="86" customWidth="1"/>
    <col min="11" max="11" width="4.88671875" customWidth="1"/>
  </cols>
  <sheetData>
    <row r="1" spans="1:11" ht="38.1" customHeight="1">
      <c r="A1" s="48"/>
      <c r="B1" s="162"/>
      <c r="C1" s="46"/>
      <c r="D1" s="99"/>
      <c r="E1" s="99"/>
      <c r="F1" s="99"/>
      <c r="G1" s="99"/>
      <c r="H1" s="105"/>
      <c r="I1" s="100"/>
      <c r="J1" s="100"/>
      <c r="K1" s="46"/>
    </row>
    <row r="2" spans="1:11" ht="25.35" customHeight="1" thickBot="1">
      <c r="A2" s="162" t="s">
        <v>552</v>
      </c>
      <c r="B2" s="162">
        <f>COUNTA(' CVM'!AG4:AG879)</f>
        <v>0</v>
      </c>
      <c r="C2" s="46"/>
      <c r="D2" s="106" t="str">
        <f t="shared" ref="D2:J2" ca="1" si="0">TEXT(D3,"ddd")</f>
        <v>Mon</v>
      </c>
      <c r="E2" s="106" t="str">
        <f t="shared" ca="1" si="0"/>
        <v>Tue</v>
      </c>
      <c r="F2" s="106" t="str">
        <f t="shared" ca="1" si="0"/>
        <v>Wed</v>
      </c>
      <c r="G2" s="106" t="str">
        <f t="shared" ca="1" si="0"/>
        <v>Thu</v>
      </c>
      <c r="H2" s="106" t="str">
        <f t="shared" ca="1" si="0"/>
        <v>Fri</v>
      </c>
      <c r="I2" s="106" t="str">
        <f t="shared" ca="1" si="0"/>
        <v>Sat</v>
      </c>
      <c r="J2" s="106" t="str">
        <f t="shared" ca="1" si="0"/>
        <v>Sun</v>
      </c>
      <c r="K2" s="46"/>
    </row>
    <row r="3" spans="1:11" ht="20.45" customHeight="1">
      <c r="A3" s="162" t="s">
        <v>553</v>
      </c>
      <c r="B3" s="162">
        <f>COUNTIF(' CVM'!AH4:AH62, TRUE)</f>
        <v>0</v>
      </c>
      <c r="C3" s="46"/>
      <c r="D3" s="98">
        <f t="array" aca="1" ref="D3:J3" ca="1">DaysAndWeeks+DATE(CalendarYear,12,1)-WEEKDAY(DATE(CalendarYear,12,1),(WeekStart="Mon")+1)+1</f>
        <v>46356</v>
      </c>
      <c r="E3" s="97">
        <f ca="1"/>
        <v>46357</v>
      </c>
      <c r="F3" s="51">
        <f ca="1"/>
        <v>46358</v>
      </c>
      <c r="G3" s="51">
        <f ca="1"/>
        <v>46359</v>
      </c>
      <c r="H3" s="51">
        <f ca="1"/>
        <v>46360</v>
      </c>
      <c r="I3" s="51">
        <f ca="1"/>
        <v>46361</v>
      </c>
      <c r="J3" s="77">
        <f ca="1"/>
        <v>46362</v>
      </c>
      <c r="K3" s="46"/>
    </row>
    <row r="4" spans="1:11" ht="83.1" customHeight="1" thickBot="1">
      <c r="A4" s="195" t="s">
        <v>557</v>
      </c>
      <c r="B4" s="162"/>
      <c r="C4" s="46"/>
      <c r="D4" s="102"/>
      <c r="E4" s="107" t="str" cm="1">
        <f t="array" aca="1" ref="E4" ca="1">IFERROR(
  _xlfn.TEXTJOIN(CHAR(10), TRUE,
    _xlfn.LET(
      _xlpm.stores,
      _xlfn._xlws.FILTER(' CVM'!$E$4:$E$62, INT(' CVM'!$AG$4:$AG$62)=INT(E$3)),
      TEXT(_xlfn.SEQUENCE(ROWS(_xlpm.stores)),"0.") &amp; " " &amp; _xlpm.stores
    )
  ),
"")</f>
        <v/>
      </c>
      <c r="F4" s="107" t="str" cm="1">
        <f t="array" aca="1" ref="F4" ca="1">IFERROR(
  _xlfn.TEXTJOIN(CHAR(10), TRUE,
    _xlfn.LET(
      _xlpm.stores,
      _xlfn._xlws.FILTER(' CVM'!$E$4:$E$62, INT(' CVM'!$AG$4:$AG$62)=INT(F$3)),
      TEXT(_xlfn.SEQUENCE(ROWS(_xlpm.stores)),"0.") &amp; " " &amp; _xlpm.stores
    )
  ),
"")</f>
        <v/>
      </c>
      <c r="G4" s="107" t="str" cm="1">
        <f t="array" aca="1" ref="G4" ca="1">IFERROR(
  _xlfn.TEXTJOIN(CHAR(10), TRUE,
    _xlfn.LET(
      _xlpm.stores,
      _xlfn._xlws.FILTER(' CVM'!$E$4:$E$62, INT(' CVM'!$AG$4:$AG$62)=INT(G$3)),
      TEXT(_xlfn.SEQUENCE(ROWS(_xlpm.stores)),"0.") &amp; " " &amp; _xlpm.stores
    )
  ),
"")</f>
        <v/>
      </c>
      <c r="H4" s="107" t="str" cm="1">
        <f t="array" aca="1" ref="H4" ca="1">IFERROR(
  _xlfn.TEXTJOIN(CHAR(10), TRUE,
    _xlfn.LET(
      _xlpm.stores,
      _xlfn._xlws.FILTER(' CVM'!$E$4:$E$62, INT(' CVM'!$AG$4:$AG$62)=INT(H$3)),
      TEXT(_xlfn.SEQUENCE(ROWS(_xlpm.stores)),"0.") &amp; " " &amp; _xlpm.stores
    )
  ),
"")</f>
        <v/>
      </c>
      <c r="I4" s="107" t="str" cm="1">
        <f t="array" aca="1" ref="I4" ca="1">IFERROR(
  _xlfn.TEXTJOIN(CHAR(10), TRUE,
    _xlfn.LET(
      _xlpm.stores,
      _xlfn._xlws.FILTER(' CVM'!$E$4:$E$62, INT(' CVM'!$AG$4:$AG$62)=INT(I$3)),
      TEXT(_xlfn.SEQUENCE(ROWS(_xlpm.stores)),"0.") &amp; " " &amp; _xlpm.stores
    )
  ),
"")</f>
        <v/>
      </c>
      <c r="J4" s="108" t="str" cm="1">
        <f t="array" aca="1" ref="J4" ca="1">IFERROR(
  _xlfn.TEXTJOIN(CHAR(10), TRUE,
    _xlfn.LET(
      _xlpm.stores,
      _xlfn._xlws.FILTER(' CVM'!$E$4:$E$62, INT(' CVM'!$AG$4:$AG$62)=INT(J$3)),
      TEXT(_xlfn.SEQUENCE(ROWS(_xlpm.stores)),"0.") &amp; " " &amp; _xlpm.stores
    )
  ),
"")</f>
        <v/>
      </c>
      <c r="K4" s="46"/>
    </row>
    <row r="5" spans="1:11" ht="20.45" customHeight="1">
      <c r="A5" s="162" t="s">
        <v>559</v>
      </c>
      <c r="B5" s="162" t="s">
        <v>596</v>
      </c>
      <c r="C5" s="46"/>
      <c r="D5" s="52">
        <f t="array" aca="1" ref="D5:J5" ca="1">DaysAndWeeks+DATE(CalendarYear,12,1)-WEEKDAY(DATE(CalendarYear,12,1),(WeekStart="Mon")+1)+8</f>
        <v>46363</v>
      </c>
      <c r="E5" s="52">
        <f ca="1"/>
        <v>46364</v>
      </c>
      <c r="F5" s="52">
        <f ca="1"/>
        <v>46365</v>
      </c>
      <c r="G5" s="52">
        <f ca="1"/>
        <v>46366</v>
      </c>
      <c r="H5" s="52">
        <f ca="1"/>
        <v>46367</v>
      </c>
      <c r="I5" s="52">
        <f ca="1"/>
        <v>46368</v>
      </c>
      <c r="J5" s="78">
        <f ca="1"/>
        <v>46369</v>
      </c>
      <c r="K5" s="46"/>
    </row>
    <row r="6" spans="1:11" ht="83.1" customHeight="1" thickBot="1">
      <c r="A6" s="320" t="s">
        <v>597</v>
      </c>
      <c r="B6" s="320"/>
      <c r="C6" s="46"/>
      <c r="D6" s="107" t="str" cm="1">
        <f t="array" aca="1" ref="D6" ca="1">IFERROR(
  _xlfn.TEXTJOIN(CHAR(10), TRUE,
    _xlfn.LET(
      _xlpm.stores,
      _xlfn._xlws.FILTER(' CVM'!$E$4:$E$62, INT(' CVM'!$AG$4:$AG$62)=INT(D$5)),
      TEXT(_xlfn.SEQUENCE(ROWS(_xlpm.stores)),"0.") &amp; " " &amp; _xlpm.stores
    )
  ),
"")</f>
        <v/>
      </c>
      <c r="E6" s="107" t="str" cm="1">
        <f t="array" aca="1" ref="E6" ca="1">IFERROR(
  _xlfn.TEXTJOIN(CHAR(10), TRUE,
    _xlfn.LET(
      _xlpm.stores,
      _xlfn._xlws.FILTER(' CVM'!$E$4:$E$62, INT(' CVM'!$AG$4:$AG$62)=INT(E$5)),
      TEXT(_xlfn.SEQUENCE(ROWS(_xlpm.stores)),"0.") &amp; " " &amp; _xlpm.stores
    )
  ),
"")</f>
        <v/>
      </c>
      <c r="F6" s="107" t="str" cm="1">
        <f t="array" aca="1" ref="F6" ca="1">IFERROR(
  _xlfn.TEXTJOIN(CHAR(10), TRUE,
    _xlfn.LET(
      _xlpm.stores,
      _xlfn._xlws.FILTER(' CVM'!$E$4:$E$62, INT(' CVM'!$AG$4:$AG$62)=INT(F$5)),
      TEXT(_xlfn.SEQUENCE(ROWS(_xlpm.stores)),"0.") &amp; " " &amp; _xlpm.stores
    )
  ),
"")</f>
        <v/>
      </c>
      <c r="G6" s="107" t="str" cm="1">
        <f t="array" aca="1" ref="G6" ca="1">IFERROR(
  _xlfn.TEXTJOIN(CHAR(10), TRUE,
    _xlfn.LET(
      _xlpm.stores,
      _xlfn._xlws.FILTER(' CVM'!$E$4:$E$62, INT(' CVM'!$AG$4:$AG$62)=INT(G$5)),
      TEXT(_xlfn.SEQUENCE(ROWS(_xlpm.stores)),"0.") &amp; " " &amp; _xlpm.stores
    )
  ),
"")</f>
        <v/>
      </c>
      <c r="H6" s="107" t="str" cm="1">
        <f t="array" aca="1" ref="H6" ca="1">IFERROR(
  _xlfn.TEXTJOIN(CHAR(10), TRUE,
    _xlfn.LET(
      _xlpm.stores,
      _xlfn._xlws.FILTER(' CVM'!$E$4:$E$62, INT(' CVM'!$AG$4:$AG$62)=INT(H$5)),
      TEXT(_xlfn.SEQUENCE(ROWS(_xlpm.stores)),"0.") &amp; " " &amp; _xlpm.stores
    )
  ),
"")</f>
        <v/>
      </c>
      <c r="I6" s="107" t="str" cm="1">
        <f t="array" aca="1" ref="I6" ca="1">IFERROR(
  _xlfn.TEXTJOIN(CHAR(10), TRUE,
    _xlfn.LET(
      _xlpm.stores,
      _xlfn._xlws.FILTER(' CVM'!$E$4:$E$62, INT(' CVM'!$AG$4:$AG$62)=INT(I$5)),
      TEXT(_xlfn.SEQUENCE(ROWS(_xlpm.stores)),"0.") &amp; " " &amp; _xlpm.stores
    )
  ),
"")</f>
        <v/>
      </c>
      <c r="J6" s="108" t="str" cm="1">
        <f t="array" aca="1" ref="J6" ca="1">IFERROR(
  _xlfn.TEXTJOIN(CHAR(10), TRUE,
    _xlfn.LET(
      _xlpm.stores,
      _xlfn._xlws.FILTER(' CVM'!$E$4:$E$62, INT(' CVM'!$AG$4:$AG$62)=INT(J$5)),
      TEXT(_xlfn.SEQUENCE(ROWS(_xlpm.stores)),"0.") &amp; " " &amp; _xlpm.stores
    )
  ),
"")</f>
        <v/>
      </c>
      <c r="K6" s="46"/>
    </row>
    <row r="7" spans="1:11" ht="20.45" customHeight="1" thickBot="1">
      <c r="A7" s="196" t="s">
        <v>494</v>
      </c>
      <c r="B7" s="163"/>
      <c r="C7" s="46"/>
      <c r="D7" s="52">
        <f t="array" aca="1" ref="D7:J7" ca="1">DaysAndWeeks+DATE(CalendarYear,12,1)-WEEKDAY(DATE(CalendarYear,12,1),(WeekStart="Mon")+1)+15</f>
        <v>46370</v>
      </c>
      <c r="E7" s="52">
        <f ca="1"/>
        <v>46371</v>
      </c>
      <c r="F7" s="52">
        <f ca="1"/>
        <v>46372</v>
      </c>
      <c r="G7" s="52">
        <f ca="1"/>
        <v>46373</v>
      </c>
      <c r="H7" s="52">
        <f ca="1"/>
        <v>46374</v>
      </c>
      <c r="I7" s="52">
        <f ca="1"/>
        <v>46375</v>
      </c>
      <c r="J7" s="78">
        <f ca="1"/>
        <v>46376</v>
      </c>
      <c r="K7" s="46"/>
    </row>
    <row r="8" spans="1:11" ht="83.1" customHeight="1" thickBot="1">
      <c r="A8" s="197"/>
      <c r="B8" s="198"/>
      <c r="C8" s="46"/>
      <c r="D8" s="107" t="str" cm="1">
        <f t="array" aca="1" ref="D8" ca="1">IFERROR(
  _xlfn.TEXTJOIN(CHAR(10), TRUE,
    _xlfn.LET(
      _xlpm.stores,
      _xlfn._xlws.FILTER(' CVM'!$E$4:$E$62, INT(' CVM'!$AG$4:$AG$62)=INT(D$7)),
      TEXT(_xlfn.SEQUENCE(ROWS(_xlpm.stores)),"0.") &amp; " " &amp; _xlpm.stores
    )
  ),
"")</f>
        <v/>
      </c>
      <c r="E8" s="107" t="str" cm="1">
        <f t="array" aca="1" ref="E8" ca="1">IFERROR(
  _xlfn.TEXTJOIN(CHAR(10), TRUE,
    _xlfn.LET(
      _xlpm.stores,
      _xlfn._xlws.FILTER(' CVM'!$E$4:$E$62, INT(' CVM'!$AG$4:$AG$62)=INT(E$7)),
      TEXT(_xlfn.SEQUENCE(ROWS(_xlpm.stores)),"0.") &amp; " " &amp; _xlpm.stores
    )
  ),
"")</f>
        <v/>
      </c>
      <c r="F8" s="107" t="str" cm="1">
        <f t="array" aca="1" ref="F8" ca="1">IFERROR(
  _xlfn.TEXTJOIN(CHAR(10), TRUE,
    _xlfn.LET(
      _xlpm.stores,
      _xlfn._xlws.FILTER(' CVM'!$E$4:$E$62, INT(' CVM'!$AG$4:$AG$62)=INT(F$7)),
      TEXT(_xlfn.SEQUENCE(ROWS(_xlpm.stores)),"0.") &amp; " " &amp; _xlpm.stores
    )
  ),
"")</f>
        <v/>
      </c>
      <c r="G8" s="107" t="str" cm="1">
        <f t="array" aca="1" ref="G8" ca="1">IFERROR(
  _xlfn.TEXTJOIN(CHAR(10), TRUE,
    _xlfn.LET(
      _xlpm.stores,
      _xlfn._xlws.FILTER(' CVM'!$E$4:$E$62, INT(' CVM'!$AG$4:$AG$62)=INT(G$7)),
      TEXT(_xlfn.SEQUENCE(ROWS(_xlpm.stores)),"0.") &amp; " " &amp; _xlpm.stores
    )
  ),
"")</f>
        <v/>
      </c>
      <c r="H8" s="107" t="str" cm="1">
        <f t="array" aca="1" ref="H8" ca="1">IFERROR(
  _xlfn.TEXTJOIN(CHAR(10), TRUE,
    _xlfn.LET(
      _xlpm.stores,
      _xlfn._xlws.FILTER(' CVM'!$E$4:$E$62, INT(' CVM'!$AG$4:$AG$62)=INT(H$7)),
      TEXT(_xlfn.SEQUENCE(ROWS(_xlpm.stores)),"0.") &amp; " " &amp; _xlpm.stores
    )
  ),
"")</f>
        <v/>
      </c>
      <c r="I8" s="107" t="str" cm="1">
        <f t="array" aca="1" ref="I8" ca="1">IFERROR(
  _xlfn.TEXTJOIN(CHAR(10), TRUE,
    _xlfn.LET(
      _xlpm.stores,
      _xlfn._xlws.FILTER(' CVM'!$E$4:$E$62, INT(' CVM'!$AG$4:$AG$62)=INT(I$7)),
      TEXT(_xlfn.SEQUENCE(ROWS(_xlpm.stores)),"0.") &amp; " " &amp; _xlpm.stores
    )
  ),
"")</f>
        <v/>
      </c>
      <c r="J8" s="108" t="str" cm="1">
        <f t="array" aca="1" ref="J8" ca="1">IFERROR(
  _xlfn.TEXTJOIN(CHAR(10), TRUE,
    _xlfn.LET(
      _xlpm.stores,
      _xlfn._xlws.FILTER(' CVM'!$E$4:$E$62, INT(' CVM'!$AG$4:$AG$62)=INT(J$7)),
      TEXT(_xlfn.SEQUENCE(ROWS(_xlpm.stores)),"0.") &amp; " " &amp; _xlpm.stores
    )
  ),
"")</f>
        <v/>
      </c>
      <c r="K8" s="46"/>
    </row>
    <row r="9" spans="1:11" ht="20.45" customHeight="1">
      <c r="A9" s="199"/>
      <c r="B9" s="200"/>
      <c r="C9" s="46"/>
      <c r="D9" s="52">
        <f t="array" aca="1" ref="D9:J9" ca="1">DaysAndWeeks+DATE(CalendarYear,12,1)-WEEKDAY(DATE(CalendarYear,12,1),(WeekStart="Mon")+1)+22</f>
        <v>46377</v>
      </c>
      <c r="E9" s="52">
        <f ca="1"/>
        <v>46378</v>
      </c>
      <c r="F9" s="52">
        <f ca="1"/>
        <v>46379</v>
      </c>
      <c r="G9" s="52">
        <f ca="1"/>
        <v>46380</v>
      </c>
      <c r="H9" s="52">
        <f ca="1"/>
        <v>46381</v>
      </c>
      <c r="I9" s="52">
        <f ca="1"/>
        <v>46382</v>
      </c>
      <c r="J9" s="78">
        <f ca="1"/>
        <v>46383</v>
      </c>
      <c r="K9" s="46"/>
    </row>
    <row r="10" spans="1:11" ht="83.1" customHeight="1" thickBot="1">
      <c r="A10" s="199"/>
      <c r="B10" s="201"/>
      <c r="C10" s="46"/>
      <c r="D10" s="107" t="str" cm="1">
        <f t="array" aca="1" ref="D10" ca="1">IFERROR(
  _xlfn.TEXTJOIN(CHAR(10), TRUE,
    _xlfn.LET(
      _xlpm.stores,
      _xlfn._xlws.FILTER(' CVM'!$E$4:$E$62, INT(' CVM'!$AG$4:$AG$62)=INT(D$9)),
      TEXT(_xlfn.SEQUENCE(ROWS(_xlpm.stores)),"0.") &amp; " " &amp; _xlpm.stores
    )
  ),
"")</f>
        <v/>
      </c>
      <c r="E10" s="107" t="str" cm="1">
        <f t="array" aca="1" ref="E10" ca="1">IFERROR(
  _xlfn.TEXTJOIN(CHAR(10), TRUE,
    _xlfn.LET(
      _xlpm.stores,
      _xlfn._xlws.FILTER(' CVM'!$E$4:$E$62, INT(' CVM'!$AG$4:$AG$62)=INT(E$9)),
      TEXT(_xlfn.SEQUENCE(ROWS(_xlpm.stores)),"0.") &amp; " " &amp; _xlpm.stores
    )
  ),
"")</f>
        <v/>
      </c>
      <c r="F10" s="107" t="str" cm="1">
        <f t="array" aca="1" ref="F10" ca="1">IFERROR(
  _xlfn.TEXTJOIN(CHAR(10), TRUE,
    _xlfn.LET(
      _xlpm.stores,
      _xlfn._xlws.FILTER(' CVM'!$E$4:$E$62, INT(' CVM'!$AG$4:$AG$62)=INT(F$9)),
      TEXT(_xlfn.SEQUENCE(ROWS(_xlpm.stores)),"0.") &amp; " " &amp; _xlpm.stores
    )
  ),
"")</f>
        <v/>
      </c>
      <c r="G10" s="107" t="str" cm="1">
        <f t="array" aca="1" ref="G10" ca="1">IFERROR(
  _xlfn.TEXTJOIN(CHAR(10), TRUE,
    _xlfn.LET(
      _xlpm.stores,
      _xlfn._xlws.FILTER(' CVM'!$E$4:$E$62, INT(' CVM'!$AG$4:$AG$62)=INT(G$9)),
      TEXT(_xlfn.SEQUENCE(ROWS(_xlpm.stores)),"0.") &amp; " " &amp; _xlpm.stores
    )
  ),
"")</f>
        <v/>
      </c>
      <c r="H10" s="219" t="str" cm="1">
        <f t="array" aca="1" ref="H10" ca="1">IFERROR(
  _xlfn.TEXTJOIN(CHAR(10), TRUE,
    _xlfn.LET(
      _xlpm.stores,
      _xlfn._xlws.FILTER('[2] CVM'!$E$3:$E$515, INT('[2] CVM'!$AE$3:$AE$515)=INT(H$9)),
      TEXT(_xlfn.SEQUENCE(ROWS(_xlpm.stores)),"0.") &amp; " " &amp; _xlpm.stores
    )
  ),
"")</f>
        <v/>
      </c>
      <c r="I10" s="107" t="str" cm="1">
        <f t="array" aca="1" ref="I10" ca="1">IFERROR(
  _xlfn.TEXTJOIN(CHAR(10), TRUE,
    _xlfn.LET(
      _xlpm.stores,
      _xlfn._xlws.FILTER(' CVM'!$E$4:$E$62, INT(' CVM'!$AG$4:$AG$62)=INT(I$9)),
      TEXT(_xlfn.SEQUENCE(ROWS(_xlpm.stores)),"0.") &amp; " " &amp; _xlpm.stores
    )
  ),
"")</f>
        <v/>
      </c>
      <c r="J10" s="108" t="str" cm="1">
        <f t="array" aca="1" ref="J10" ca="1">IFERROR(
  _xlfn.TEXTJOIN(CHAR(10), TRUE,
    _xlfn.LET(
      _xlpm.stores,
      _xlfn._xlws.FILTER(' CVM'!$E$4:$E$62, INT(' CVM'!$AG$4:$AG$62)=INT(J$9)),
      TEXT(_xlfn.SEQUENCE(ROWS(_xlpm.stores)),"0.") &amp; " " &amp; _xlpm.stores
    )
  ),
"")</f>
        <v/>
      </c>
      <c r="K10" s="46"/>
    </row>
    <row r="11" spans="1:11" ht="20.45" customHeight="1">
      <c r="A11" s="199"/>
      <c r="B11" s="201"/>
      <c r="C11" s="46"/>
      <c r="D11" s="52">
        <f t="array" aca="1" ref="D11:J11" ca="1">DaysAndWeeks+DATE(CalendarYear,12,1)-WEEKDAY(DATE(CalendarYear,12,1),(WeekStart="Mon")+1)+29</f>
        <v>46384</v>
      </c>
      <c r="E11" s="52">
        <f ca="1"/>
        <v>46385</v>
      </c>
      <c r="F11" s="52">
        <f ca="1"/>
        <v>46386</v>
      </c>
      <c r="G11" s="52">
        <f ca="1"/>
        <v>46387</v>
      </c>
      <c r="H11" s="52">
        <f ca="1"/>
        <v>46388</v>
      </c>
      <c r="I11" s="52">
        <f ca="1"/>
        <v>46389</v>
      </c>
      <c r="J11" s="78">
        <f ca="1"/>
        <v>46390</v>
      </c>
      <c r="K11" s="46"/>
    </row>
    <row r="12" spans="1:11" ht="83.1" customHeight="1" thickBot="1">
      <c r="A12" s="202"/>
      <c r="B12" s="201"/>
      <c r="C12" s="46"/>
      <c r="D12" s="219" t="str" cm="1">
        <f t="array" aca="1" ref="D12" ca="1">IFERROR(
  _xlfn.TEXTJOIN(CHAR(10), TRUE,
    _xlfn.LET(
      _xlpm.stores,
      _xlfn._xlws.FILTER('[2] CVM'!$E$3:$E$515, INT('[2] CVM'!$AE$3:$AE$515)=INT(D$9)),
      TEXT(_xlfn.SEQUENCE(ROWS(_xlpm.stores)),"0.") &amp; " " &amp; _xlpm.stores
    )
  ),
"")</f>
        <v/>
      </c>
      <c r="E12" s="107" t="str" cm="1">
        <f t="array" aca="1" ref="E12" ca="1">IFERROR(
  _xlfn.TEXTJOIN(CHAR(10), TRUE,
    _xlfn.LET(
      _xlpm.stores,
      _xlfn._xlws.FILTER(' CVM'!$E$4:$E$62, INT(' CVM'!$AG$4:$AG$62)=INT(E$11)),
      TEXT(_xlfn.SEQUENCE(ROWS(_xlpm.stores)),"0.") &amp; " " &amp; _xlpm.stores
    )
  ),
"")</f>
        <v/>
      </c>
      <c r="F12" s="107" t="str" cm="1">
        <f t="array" aca="1" ref="F12" ca="1">IFERROR(
  _xlfn.TEXTJOIN(CHAR(10), TRUE,
    _xlfn.LET(
      _xlpm.stores,
      _xlfn._xlws.FILTER(' CVM'!$E$4:$E$62, INT(' CVM'!$AG$4:$AG$62)=INT(F$11)),
      TEXT(_xlfn.SEQUENCE(ROWS(_xlpm.stores)),"0.") &amp; " " &amp; _xlpm.stores
    )
  ),
"")</f>
        <v/>
      </c>
      <c r="G12" s="107" t="str" cm="1">
        <f t="array" aca="1" ref="G12" ca="1">IFERROR(
  _xlfn.TEXTJOIN(CHAR(10), TRUE,
    _xlfn.LET(
      _xlpm.stores,
      _xlfn._xlws.FILTER(' CVM'!$E$4:$E$62, INT(' CVM'!$AG$4:$AG$62)=INT(G$11)),
      TEXT(_xlfn.SEQUENCE(ROWS(_xlpm.stores)),"0.") &amp; " " &amp; _xlpm.stores
    )
  ),
"")</f>
        <v/>
      </c>
      <c r="H12" s="107"/>
      <c r="I12" s="107"/>
      <c r="J12" s="108"/>
      <c r="K12" s="46"/>
    </row>
    <row r="13" spans="1:11" ht="20.45" customHeight="1" thickBot="1">
      <c r="A13" s="203"/>
      <c r="B13" s="204"/>
      <c r="C13" s="46"/>
      <c r="D13" s="52">
        <f t="array" aca="1" ref="D13:J13" ca="1">DaysAndWeeks+DATE(CalendarYear,12,1)-WEEKDAY(DATE(CalendarYear,12,1),(WeekStart="Mon")+1)+36</f>
        <v>46391</v>
      </c>
      <c r="E13" s="52">
        <f ca="1"/>
        <v>46392</v>
      </c>
      <c r="F13" s="52">
        <f ca="1"/>
        <v>46393</v>
      </c>
      <c r="G13" s="52">
        <f ca="1"/>
        <v>46394</v>
      </c>
      <c r="H13" s="52">
        <f ca="1"/>
        <v>46395</v>
      </c>
      <c r="I13" s="52">
        <f ca="1"/>
        <v>46396</v>
      </c>
      <c r="J13" s="78">
        <f ca="1"/>
        <v>46397</v>
      </c>
      <c r="K13" s="46"/>
    </row>
    <row r="14" spans="1:11" ht="83.1" customHeight="1" thickBot="1">
      <c r="A14" s="50"/>
      <c r="B14" s="164" t="s">
        <v>598</v>
      </c>
      <c r="C14" s="46"/>
      <c r="D14" s="103"/>
      <c r="E14" s="103"/>
      <c r="F14" s="103"/>
      <c r="G14" s="103"/>
      <c r="H14" s="103"/>
      <c r="I14" s="103"/>
      <c r="J14" s="104"/>
      <c r="K14" s="46"/>
    </row>
    <row r="15" spans="1:11" ht="22.5" customHeight="1">
      <c r="A15" s="49"/>
      <c r="B15" s="165" t="s">
        <v>599</v>
      </c>
      <c r="C15" s="46"/>
      <c r="D15" s="100"/>
      <c r="E15" s="100"/>
      <c r="F15" s="100"/>
      <c r="G15" s="100"/>
      <c r="H15" s="100"/>
      <c r="I15" s="100"/>
      <c r="J15" s="100"/>
      <c r="K15" s="46"/>
    </row>
    <row r="16" spans="1:11" ht="15" customHeight="1">
      <c r="A16" s="49"/>
      <c r="B16" s="163"/>
      <c r="C16" s="46"/>
      <c r="D16" s="100"/>
      <c r="E16" s="100"/>
      <c r="F16" s="100"/>
      <c r="G16" s="100"/>
      <c r="H16" s="100"/>
      <c r="I16" s="100"/>
      <c r="J16" s="100"/>
      <c r="K16" s="46"/>
    </row>
    <row r="17" ht="49.5" customHeight="1"/>
    <row r="19" ht="17.850000000000001" customHeight="1"/>
  </sheetData>
  <sheetProtection selectLockedCells="1" sort="0" autoFilter="0"/>
  <mergeCells count="1">
    <mergeCell ref="A6:B6"/>
  </mergeCells>
  <conditionalFormatting sqref="D3:J3">
    <cfRule type="expression" dxfId="9" priority="25">
      <formula>DAY(D3)&gt;8</formula>
    </cfRule>
  </conditionalFormatting>
  <conditionalFormatting sqref="D11:J11 D13:J14 H12:J12">
    <cfRule type="expression" dxfId="8" priority="23">
      <formula>AND(DAY(D11)&gt;=1,DAY(D11)&lt;=15)</formula>
    </cfRule>
  </conditionalFormatting>
  <conditionalFormatting sqref="D13:J14 H12:J12">
    <cfRule type="expression" dxfId="7" priority="24">
      <formula>AND(DAY(D11)&gt;=1,DAY(D11)&lt;=15)</formula>
    </cfRule>
  </conditionalFormatting>
  <conditionalFormatting sqref="E4:I4">
    <cfRule type="notContainsBlanks" dxfId="6" priority="13">
      <formula>LEN(TRIM(E4))&gt;0</formula>
    </cfRule>
  </conditionalFormatting>
  <conditionalFormatting sqref="D6:I6">
    <cfRule type="notContainsBlanks" dxfId="5" priority="8">
      <formula>LEN(TRIM(D6))&gt;0</formula>
    </cfRule>
  </conditionalFormatting>
  <conditionalFormatting sqref="D8:I8">
    <cfRule type="notContainsBlanks" dxfId="4" priority="7">
      <formula>LEN(TRIM(D8))&gt;0</formula>
    </cfRule>
  </conditionalFormatting>
  <conditionalFormatting sqref="D10:G10 I10">
    <cfRule type="notContainsBlanks" dxfId="3" priority="6">
      <formula>LEN(TRIM(D10))&gt;0</formula>
    </cfRule>
  </conditionalFormatting>
  <conditionalFormatting sqref="E12:G12">
    <cfRule type="notContainsBlanks" dxfId="2" priority="5">
      <formula>LEN(TRIM(E12))&gt;0</formula>
    </cfRule>
  </conditionalFormatting>
  <conditionalFormatting sqref="H10">
    <cfRule type="notContainsBlanks" dxfId="1" priority="2">
      <formula>LEN(TRIM(H10))&gt;0</formula>
    </cfRule>
  </conditionalFormatting>
  <conditionalFormatting sqref="D12">
    <cfRule type="notContainsBlanks" dxfId="0" priority="1">
      <formula>LEN(TRIM(D12))&gt;0</formula>
    </cfRule>
  </conditionalFormatting>
  <dataValidations count="8">
    <dataValidation allowBlank="1" showInputMessage="1" prompt="Navigation link to the previous month" sqref="B14" xr:uid="{0D21B058-9B73-478E-9788-A95498DACEBB}"/>
    <dataValidation allowBlank="1" showInputMessage="1" prompt="Automatically determined starting day of the week. To change weekdays, select a new starting day of the week in Q4 of 'JANUARY' worksheet" sqref="D2" xr:uid="{2B607983-8E6B-46FC-A2E7-CCEFCF1C0DB4}"/>
    <dataValidation allowBlank="1" showInputMessage="1" prompt="Automatically determined weekday" sqref="E2:J2" xr:uid="{99CABCC1-03CC-4CA9-ABBE-FA0243A9BD3E}"/>
    <dataValidation allowBlank="1" showInputMessage="1" showErrorMessage="1" prompt="December month calendar" sqref="A1" xr:uid="{42C04553-2CD9-4C7E-9DD3-59789E52D3F9}"/>
    <dataValidation allowBlank="1" showInputMessage="1" showErrorMessage="1" prompt="Navigation link to the next month" sqref="B15" xr:uid="{1104C286-EEAF-4E12-B96C-4AE260F6EC1F}"/>
    <dataValidation allowBlank="1" showInputMessage="1" prompt="Enter daily notes in rows 4, 6, 8, 10, 12, and 14, columns D through J" sqref="D4" xr:uid="{66C2BE1E-58F2-489F-9239-C3657E644CBE}"/>
    <dataValidation allowBlank="1" showInputMessage="1" showErrorMessage="1" prompt="Month for this worksheet is in this cell. Calendar is in the right contains dates from previous, current, and next month." sqref="A6" xr:uid="{41088862-AD9F-48F8-80AC-B3A3E6C6D187}"/>
    <dataValidation allowBlank="1" showInputMessage="1" prompt="Rows 3, 5, 7, 9, 11, and 13 contain dates of the month, including the previous and next month, if applicable" sqref="D3" xr:uid="{0C18C493-3236-43C5-93C2-FADF9964C607}"/>
  </dataValidations>
  <hyperlinks>
    <hyperlink ref="B14" location="NOVEMBER!A1" tooltip="Navigation link to the next month" display=" &lt; NOVEMBER" xr:uid="{D5D369E9-122B-4D5E-BF9C-EB6392C0442A}"/>
    <hyperlink ref="B15" location="JANUARY!A1" display="&gt; JANUARY" xr:uid="{8EA3999D-6ED2-49E2-8DC1-D2A2F5432894}"/>
  </hyperlinks>
  <printOptions horizontalCentered="1" verticalCentered="1"/>
  <pageMargins left="0.25" right="0.25" top="0.75" bottom="0.75" header="0.3" footer="0.3"/>
  <pageSetup scale="77" orientation="landscape" horizontalDpi="4294967293" verticalDpi="200" r:id="rId1"/>
  <ignoredErrors>
    <ignoredError sqref="B2:B3" unlockedFormula="1"/>
  </ignoredError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D663B18D071F4DA51CEA453C9C3466" ma:contentTypeVersion="3" ma:contentTypeDescription="Create a new document." ma:contentTypeScope="" ma:versionID="0bd4e9ec0a4d7da88e3d208c502f8c72">
  <xsd:schema xmlns:xsd="http://www.w3.org/2001/XMLSchema" xmlns:xs="http://www.w3.org/2001/XMLSchema" xmlns:p="http://schemas.microsoft.com/office/2006/metadata/properties" xmlns:ns2="b9d623bf-1c92-439a-9fb2-2dd95e10bee8" targetNamespace="http://schemas.microsoft.com/office/2006/metadata/properties" ma:root="true" ma:fieldsID="43a53b32e85aca412f51b86426daa01a" ns2:_="">
    <xsd:import namespace="b9d623bf-1c92-439a-9fb2-2dd95e10bee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d623bf-1c92-439a-9fb2-2dd95e10be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8EEE1-1758-4ACF-82BE-F1A4FEBAF010}"/>
</file>

<file path=customXml/itemProps2.xml><?xml version="1.0" encoding="utf-8"?>
<ds:datastoreItem xmlns:ds="http://schemas.openxmlformats.org/officeDocument/2006/customXml" ds:itemID="{571D0B43-42FB-49DA-B216-96383F68D67D}"/>
</file>

<file path=customXml/itemProps3.xml><?xml version="1.0" encoding="utf-8"?>
<ds:datastoreItem xmlns:ds="http://schemas.openxmlformats.org/officeDocument/2006/customXml" ds:itemID="{9E908A1A-6377-41D2-B007-E3AB04C9CFF3}"/>
</file>

<file path=customXml/itemProps4.xml><?xml version="1.0" encoding="utf-8"?>
<ds:datastoreItem xmlns:ds="http://schemas.openxmlformats.org/officeDocument/2006/customXml" ds:itemID="{5E202A18-FAEF-4F4D-AF17-F60E9F96A774}"/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TM16390962</Template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Nick Sterritt</dc:creator>
  <cp:keywords/>
  <dc:description/>
  <cp:lastModifiedBy/>
  <cp:revision/>
  <dcterms:created xsi:type="dcterms:W3CDTF">2023-10-12T14:29:07Z</dcterms:created>
  <dcterms:modified xsi:type="dcterms:W3CDTF">2026-02-18T04:24:28Z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0x010100E9D663B18D071F4DA51CEA453C9C3466</vt:lpwstr>
  </property>
  <property fmtid="{D5CDD505-2E9C-101B-9397-08002B2CF9AE}" pid="3" name="MediaServiceImageTags">
    <vt:lpwstr/>
  </property>
</Properties>
</file>